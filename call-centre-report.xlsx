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C:\Users\garap\Downloads\DATA ANALYSIS\Excel\Chandoo\project\"/>
    </mc:Choice>
  </mc:AlternateContent>
  <xr:revisionPtr revIDLastSave="0" documentId="13_ncr:1_{E2B9E1FE-A42B-4182-8BBD-2EA16D89E8B3}" xr6:coauthVersionLast="47" xr6:coauthVersionMax="47" xr10:uidLastSave="{00000000-0000-0000-0000-000000000000}"/>
  <bookViews>
    <workbookView xWindow="-108" yWindow="-108" windowWidth="23256" windowHeight="12456" tabRatio="558" activeTab="3" xr2:uid="{26D4546B-D2A1-4444-8EAF-A6228F96F0C1}"/>
  </bookViews>
  <sheets>
    <sheet name="Data" sheetId="2" r:id="rId1"/>
    <sheet name="Assets" sheetId="4" r:id="rId2"/>
    <sheet name="pivots" sheetId="6" r:id="rId3"/>
    <sheet name="Call center report" sheetId="5" r:id="rId4"/>
  </sheets>
  <definedNames>
    <definedName name="_xlnm._FilterDatabase" localSheetId="0"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xlsx!calls"/>
          <x15:modelTable id="customers" name="customers" connection="WorksheetConnection_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7" i="5" l="1"/>
  <c r="J55" i="6"/>
  <c r="G55" i="6"/>
  <c r="G57" i="6" s="1"/>
  <c r="J54" i="6" s="1"/>
  <c r="N35" i="5" s="1"/>
  <c r="G54" i="6"/>
  <c r="G56" i="6" s="1"/>
  <c r="J53" i="6" s="1"/>
  <c r="N34" i="5" s="1"/>
  <c r="G53" i="6"/>
  <c r="J52" i="6" s="1"/>
  <c r="N33" i="5" s="1"/>
  <c r="Q18" i="5" a="1"/>
  <c r="Q18" i="5" s="1"/>
  <c r="P19" i="5" a="1"/>
  <c r="P19" i="5" s="1"/>
  <c r="J39" i="6"/>
  <c r="F42" i="6" a="1"/>
  <c r="F4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4" i="6" l="1"/>
  <c r="J43" i="6"/>
  <c r="J45" i="6"/>
  <c r="J46" i="6"/>
  <c r="J42" i="6"/>
  <c r="I43" i="6"/>
  <c r="I44" i="6"/>
  <c r="I45" i="6"/>
  <c r="I46" i="6"/>
  <c r="I4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882D30-F5F8-4FCA-9E4C-FF08EC8107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885163A-3033-45CF-90DE-9D1E885506CA}"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CD27F135-B001-4F6B-A81C-F6E43866BFF4}"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<sst xmlns="http://schemas.openxmlformats.org/spreadsheetml/2006/main" count="3172" uniqueCount="1086">
  <si>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</si>
  <si>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</si>
  <si>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</si>
  <si>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</si>
  <si>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</si>
  <si>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</si>
  <si>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</si>
  <si>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</si>
  <si>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</si>
  <si>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</si>
  <si>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</si>
  <si>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</si>
  <si>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</si>
  <si>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</si>
  <si>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</si>
  <si>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</si>
  <si>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</si>
  <si>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</si>
  <si>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</si>
  <si>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</si>
  <si>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</si>
  <si>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</si>
  <si>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</si>
  <si>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</si>
  <si>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</si>
  <si>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</si>
  <si>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</si>
  <si>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</si>
  <si>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</si>
  <si>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</si>
  <si>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</si>
  <si>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</si>
  <si>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</si>
  <si>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</si>
  <si>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</si>
  <si>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</si>
  <si>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</si>
  <si>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</si>
  <si>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</si>
  <si>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</si>
  <si>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</si>
  <si>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</si>
  <si>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</si>
  <si>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</si>
  <si>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</si>
  <si>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</si>
  <si>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</si>
  <si>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</si>
  <si>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</si>
  <si>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</si>
  <si>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</si>
  <si>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</si>
  <si>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</si>
  <si>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</si>
  <si>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</si>
  <si>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</si>
  <si>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</si>
  <si>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</si>
  <si>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</si>
  <si>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</si>
  <si>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</si>
  <si>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</si>
  <si>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</si>
  <si>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</si>
  <si>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</si>
  <si>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</si>
  <si>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</si>
  <si>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</si>
  <si>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</si>
  <si>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</si>
  <si>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</si>
  <si>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</si>
  <si>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</si>
  <si>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</si>
  <si>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</si>
  <si>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</si>
  <si>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</si>
  <si>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</si>
  <si>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</si>
  <si>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</si>
  <si>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</si>
  <si>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</si>
  <si>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</si>
  <si>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</si>
  <si>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</si>
  <si>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</si>
  <si>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</si>
  <si>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</si>
  <si>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</si>
  <si>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</si>
  <si>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</si>
  <si>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</si>
  <si>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</si>
  <si>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</si>
  <si>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</si>
  <si>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</si>
  <si>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</si>
  <si>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</si>
  <si>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</si>
  <si>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</si>
  <si>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</si>
  <si>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</si>
  <si>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</si>
  <si>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</si>
  <si>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</si>
  <si>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</si>
  <si>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</si>
  <si>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</si>
  <si>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</si>
  <si>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</si>
  <si>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</si>
  <si>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</si>
  <si>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</si>
  <si>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</si>
  <si>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</si>
  <si>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</si>
  <si>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</si>
  <si>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</si>
  <si>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</si>
  <si>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</si>
  <si>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</si>
  <si>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</si>
  <si>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</si>
  <si>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</si>
  <si>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</si>
  <si>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</si>
  <si>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</si>
  <si>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</si>
  <si>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</si>
  <si>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</si>
  <si>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</si>
  <si>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</si>
  <si>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</si>
  <si>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</si>
  <si>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</si>
  <si>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</si>
  <si>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</si>
  <si>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</si>
  <si>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</si>
  <si>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</si>
  <si>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</si>
  <si>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</si>
  <si>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</si>
  <si>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</si>
  <si>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</si>
  <si>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</si>
  <si>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</si>
  <si>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</si>
  <si>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</si>
  <si>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</si>
  <si>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</si>
  <si>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</si>
  <si>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</si>
  <si>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</si>
  <si>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</si>
  <si>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</si>
  <si>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</si>
  <si>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</si>
  <si>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</si>
  <si>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</si>
  <si>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</si>
  <si>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</si>
  <si>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</si>
  <si>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</si>
  <si>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</si>
  <si>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</si>
  <si>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</si>
  <si>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</si>
  <si>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</si>
  <si>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</si>
  <si>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</si>
  <si>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</si>
  <si>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</si>
  <si>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</si>
  <si>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</si>
  <si>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</si>
  <si>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</si>
  <si>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</si>
  <si>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</si>
  <si>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</si>
  <si>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</si>
  <si>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</si>
  <si>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</si>
  <si>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</si>
  <si>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</si>
  <si>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</si>
  <si>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</si>
  <si>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</si>
  <si>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</si>
  <si>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</si>
  <si>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</si>
  <si>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</si>
  <si>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</si>
  <si>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</si>
  <si>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</si>
  <si>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</si>
  <si>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</si>
  <si>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</si>
  <si>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</si>
  <si>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</si>
  <si>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</si>
  <si>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</si>
  <si>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</si>
  <si>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</si>
  <si>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</si>
  <si>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</si>
  <si>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</si>
  <si>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</si>
  <si>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</si>
  <si>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</si>
  <si>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</si>
  <si>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</si>
  <si>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</si>
  <si>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</si>
  <si>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</si>
  <si>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</si>
  <si>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</si>
  <si>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</si>
  <si>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</si>
  <si>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</si>
  <si>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</si>
  <si>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</si>
  <si>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</si>
  <si>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</si>
  <si>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</si>
  <si>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</si>
  <si>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</si>
  <si>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</si>
  <si>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</si>
  <si>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</si>
  <si>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</si>
  <si>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</si>
  <si>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</si>
  <si>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</si>
  <si>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</si>
  <si>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</si>
  <si>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</si>
  <si>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</si>
  <si>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</si>
  <si>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</si>
  <si>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</si>
  <si>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</si>
  <si>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</si>
  <si>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</si>
  <si>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</si>
  <si>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</si>
  <si>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</si>
  <si>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</si>
  <si>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</si>
  <si>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</si>
  <si>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</si>
  <si>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</si>
  <si>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</si>
  <si>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</si>
  <si>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</si>
  <si>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</si>
  <si>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</si>
  <si>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</si>
  <si>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</si>
  <si>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</si>
  <si>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</si>
  <si>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</si>
  <si>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</si>
  <si>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</si>
  <si>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</si>
  <si>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</si>
  <si>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</si>
  <si>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</si>
  <si>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</si>
  <si>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</si>
  <si>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</si>
  <si>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</si>
  <si>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</si>
  <si>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</si>
  <si>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</si>
  <si>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</si>
  <si>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</si>
  <si>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</si>
  <si>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</si>
  <si>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</si>
  <si>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</si>
  <si>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</si>
  <si>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</si>
  <si>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</si>
  <si>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</si>
  <si>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</si>
  <si>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</si>
  <si>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</si>
  <si>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</si>
  <si>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</si>
  <si>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</si>
  <si>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</si>
  <si>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</si>
  <si>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</si>
  <si>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</si>
  <si>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</si>
  <si>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</si>
  <si>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</si>
  <si>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</si>
  <si>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</si>
  <si>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</si>
  <si>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</si>
  <si>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</si>
  <si>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</si>
  <si>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</si>
  <si>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</si>
  <si>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</si>
  <si>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</si>
  <si>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</si>
  <si>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</si>
  <si>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</si>
  <si>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</si>
  <si>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</si>
  <si>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</si>
  <si>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</si>
  <si>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</si>
  <si>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</si>
  <si>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</si>
  <si>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</si>
  <si>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</si>
  <si>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</si>
  <si>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</si>
  <si>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</si>
  <si>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</si>
  <si>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</si>
  <si>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</si>
  <si>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</si>
  <si>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</si>
  <si>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</si>
  <si>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</si>
  <si>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</si>
  <si>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</si>
  <si>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</si>
  <si>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</si>
  <si>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</si>
  <si>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</si>
  <si>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</si>
  <si>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</si>
  <si>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</si>
  <si>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</si>
  <si>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</si>
  <si>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</si>
  <si>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</si>
  <si>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</si>
  <si>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</si>
  <si>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</si>
  <si>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</si>
  <si>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</si>
  <si>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</si>
  <si>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</si>
  <si>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</si>
  <si>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</si>
  <si>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</si>
  <si>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</si>
  <si>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</si>
  <si>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</si>
  <si>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</si>
  <si>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</si>
  <si>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</si>
  <si>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</si>
  <si>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</si>
  <si>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</si>
  <si>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</si>
  <si>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</si>
  <si>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</si>
  <si>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</si>
  <si>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</si>
  <si>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</si>
  <si>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</si>
  <si>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</si>
  <si>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</si>
  <si>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</si>
  <si>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</si>
  <si>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</si>
  <si>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</si>
  <si>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</si>
  <si>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</si>
  <si>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</si>
  <si>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</si>
  <si>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</si>
  <si>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</si>
  <si>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</si>
  <si>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</si>
  <si>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</si>
  <si>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</si>
  <si>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</si>
  <si>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</si>
  <si>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</si>
  <si>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</si>
  <si>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</si>
  <si>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</si>
  <si>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</si>
  <si>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</si>
  <si>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</si>
  <si>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</si>
  <si>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</si>
  <si>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</si>
  <si>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</si>
  <si>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</si>
  <si>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</si>
  <si>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</si>
  <si>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</si>
  <si>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</si>
  <si>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</si>
  <si>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</si>
  <si>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</si>
  <si>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</si>
  <si>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</si>
  <si>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</si>
  <si>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</si>
  <si>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</si>
  <si>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</si>
  <si>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</si>
  <si>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</si>
  <si>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</si>
  <si>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</si>
  <si>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</si>
  <si>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</si>
  <si>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</si>
  <si>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</si>
  <si>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</si>
  <si>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</si>
  <si>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</si>
  <si>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</si>
  <si>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</si>
  <si>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</si>
  <si>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</si>
  <si>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</si>
  <si>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</si>
  <si>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</si>
  <si>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</si>
  <si>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</si>
  <si>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</si>
  <si>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</si>
  <si>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</si>
  <si>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</si>
  <si>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</si>
  <si>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</si>
  <si>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</si>
  <si>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</si>
  <si>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</si>
  <si>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</si>
  <si>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</si>
  <si>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</si>
  <si>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</si>
  <si>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</si>
  <si>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</si>
  <si>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</si>
  <si>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</si>
  <si>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</si>
  <si>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</si>
  <si>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</si>
  <si>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</si>
  <si>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</si>
  <si>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</si>
  <si>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</si>
  <si>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</si>
  <si>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</si>
  <si>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</si>
  <si>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</si>
  <si>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</si>
  <si>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</si>
  <si>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</si>
  <si>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</si>
  <si>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</si>
  <si>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</si>
  <si>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</si>
  <si>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</si>
  <si>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</si>
  <si>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</si>
  <si>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</si>
  <si>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</si>
  <si>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</si>
  <si>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</si>
  <si>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</si>
  <si>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</si>
  <si>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</si>
  <si>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</si>
  <si>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</si>
  <si>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</si>
  <si>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</si>
  <si>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</si>
  <si>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</si>
  <si>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</si>
  <si>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</si>
  <si>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</si>
  <si>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</si>
  <si>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</si>
  <si>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</si>
  <si>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</si>
  <si>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</si>
  <si>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</si>
  <si>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</si>
  <si>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</si>
  <si>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</si>
  <si>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</si>
  <si>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</si>
  <si>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</si>
  <si>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</si>
  <si>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</si>
  <si>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</si>
  <si>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</si>
  <si>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</si>
  <si>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</si>
  <si>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</si>
  <si>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</si>
  <si>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</si>
  <si>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</si>
  <si>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</si>
  <si>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</si>
  <si>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</si>
  <si>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</si>
  <si>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</si>
  <si>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</si>
  <si>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</si>
  <si>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</si>
  <si>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</si>
  <si>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</si>
  <si>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</si>
  <si>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</si>
  <si>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</si>
  <si>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</si>
  <si>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</si>
  <si>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</si>
  <si>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</si>
  <si>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</si>
  <si>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</si>
  <si>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</si>
  <si>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</si>
  <si>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</si>
  <si>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</si>
  <si>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</si>
  <si>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</si>
  <si>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</si>
  <si>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</si>
  <si>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</si>
  <si>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</si>
  <si>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</si>
  <si>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</si>
  <si>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</si>
  <si>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</si>
  <si>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</si>
  <si>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</si>
  <si>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</si>
  <si>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</si>
  <si>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</si>
  <si>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</si>
  <si>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</si>
  <si>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</si>
  <si>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</si>
  <si>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</si>
  <si>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</si>
  <si>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</si>
  <si>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</si>
  <si>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</si>
  <si>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</si>
  <si>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</si>
  <si>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</si>
  <si>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</si>
  <si>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</si>
  <si>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</si>
  <si>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</si>
  <si>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</si>
  <si>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</si>
  <si>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</si>
  <si>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</si>
  <si>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</si>
  <si>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</si>
  <si>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</si>
  <si>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</si>
  <si>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</si>
  <si>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</si>
  <si>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</si>
  <si>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</si>
  <si>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</si>
  <si>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</si>
  <si>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</si>
  <si>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</si>
  <si>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</si>
  <si>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</si>
  <si>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</si>
  <si>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</si>
  <si>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</si>
  <si>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</si>
  <si>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</si>
  <si>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</si>
  <si>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</si>
  <si>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</si>
  <si>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</si>
  <si>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</si>
  <si>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</si>
  <si>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</si>
  <si>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</si>
  <si>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</si>
  <si>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</si>
  <si>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</si>
  <si>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</si>
  <si>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</si>
  <si>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</si>
  <si>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</si>
  <si>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</si>
  <si>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</si>
  <si>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</si>
  <si>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</si>
  <si>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</si>
  <si>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</si>
  <si>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</si>
  <si>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</si>
  <si>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</si>
  <si>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</si>
  <si>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</si>
  <si>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</si>
  <si>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</si>
  <si>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</si>
  <si>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</si>
  <si>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</si>
  <si>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</si>
  <si>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</si>
  <si>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</si>
  <si>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</si>
  <si>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</si>
  <si>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</si>
  <si>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</si>
  <si>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</si>
  <si>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</si>
  <si>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</si>
  <si>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</si>
  <si>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</si>
  <si>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</si>
  <si>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</si>
  <si>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</si>
  <si>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</si>
  <si>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</si>
  <si>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</si>
  <si>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</si>
  <si>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</si>
  <si>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</si>
  <si>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</si>
  <si>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</si>
  <si>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</si>
  <si>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</si>
  <si>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</si>
  <si>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</si>
  <si>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</si>
  <si>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</si>
  <si>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</si>
  <si>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</si>
  <si>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</si>
  <si>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</si>
  <si>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</si>
  <si>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</si>
  <si>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</si>
  <si>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</si>
  <si>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</si>
  <si>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</si>
  <si>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</si>
  <si>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</si>
  <si>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</si>
  <si>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</si>
  <si>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</si>
  <si>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</si>
  <si>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</si>
  <si>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</si>
  <si>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</si>
  <si>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</si>
  <si>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</si>
  <si>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</si>
  <si>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</si>
  <si>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</si>
  <si>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</si>
  <si>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</si>
  <si>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</si>
  <si>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</si>
  <si>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</si>
  <si>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</si>
  <si>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</si>
  <si>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</si>
  <si>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</si>
  <si>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</si>
  <si>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</si>
  <si>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</si>
  <si>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</si>
  <si>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</si>
  <si>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</si>
  <si>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</si>
  <si>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</si>
  <si>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</si>
  <si>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</si>
  <si>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</si>
  <si>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</si>
  <si>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</si>
  <si>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</si>
  <si>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</si>
  <si>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</si>
  <si>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</si>
  <si>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</si>
  <si>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</si>
  <si>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</si>
  <si>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</si>
  <si>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</si>
  <si>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</si>
  <si>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</si>
  <si>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</si>
  <si>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</si>
  <si>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</si>
  <si>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</si>
  <si>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</si>
  <si>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</si>
  <si>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</si>
  <si>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</si>
  <si>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</si>
  <si>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</si>
  <si>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</si>
  <si>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</si>
  <si>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</si>
  <si>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</si>
  <si>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</si>
  <si>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</si>
  <si>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</si>
  <si>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</si>
  <si>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</si>
  <si>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</si>
  <si>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</si>
  <si>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</si>
  <si>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</si>
  <si>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</si>
  <si>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</si>
  <si>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</si>
  <si>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</si>
  <si>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</si>
  <si>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</si>
  <si>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</si>
  <si>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</si>
  <si>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</si>
  <si>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</si>
  <si>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</si>
  <si>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</si>
  <si>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</si>
  <si>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</si>
  <si>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</si>
  <si>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</si>
  <si>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</si>
  <si>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</si>
  <si>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</si>
  <si>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</si>
  <si>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</si>
  <si>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</si>
  <si>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</si>
  <si>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</si>
  <si>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</si>
  <si>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</si>
  <si>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</si>
  <si>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</si>
  <si>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</si>
  <si>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</si>
  <si>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</si>
  <si>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</si>
  <si>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</si>
  <si>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</si>
  <si>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</si>
  <si>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</si>
  <si>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</si>
  <si>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</si>
  <si>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</si>
  <si>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</si>
  <si>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</si>
  <si>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</si>
  <si>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</si>
  <si>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</si>
  <si>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</si>
  <si>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</si>
  <si>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</si>
  <si>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</si>
  <si>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</si>
  <si>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</si>
  <si>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</si>
  <si>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</si>
  <si>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</si>
  <si>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</si>
  <si>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</si>
  <si>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</si>
  <si>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</si>
  <si>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</si>
  <si>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</si>
  <si>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</si>
  <si>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</si>
  <si>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</si>
  <si>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</si>
  <si>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</si>
  <si>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</si>
  <si>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</si>
  <si>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</si>
  <si>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</si>
  <si>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</si>
  <si>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</si>
  <si>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</si>
  <si>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</si>
  <si>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</si>
  <si>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</si>
  <si>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</si>
  <si>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</si>
  <si>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</si>
  <si>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</si>
  <si>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</si>
  <si>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</si>
  <si>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</si>
  <si>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</si>
  <si>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</si>
  <si>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</si>
  <si>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</si>
  <si>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</si>
  <si>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</si>
  <si>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</si>
  <si>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</si>
  <si>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</si>
  <si>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</si>
  <si>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</si>
  <si>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</si>
  <si>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</si>
  <si>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</si>
  <si>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</si>
  <si>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</si>
  <si>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</si>
  <si>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</si>
  <si>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</si>
  <si>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</si>
  <si>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</si>
  <si>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</si>
  <si>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</si>
  <si>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</si>
  <si>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</si>
  <si>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</si>
  <si>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</si>
  <si>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</si>
  <si>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</si>
  <si>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</si>
  <si>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</si>
  <si>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</si>
  <si>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</si>
  <si>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</si>
  <si>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</si>
  <si>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</si>
  <si>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</si>
  <si>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</si>
  <si>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</si>
  <si>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</si>
  <si>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</si>
  <si>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</si>
  <si>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</si>
  <si>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</si>
  <si>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</si>
  <si>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</si>
  <si>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</si>
  <si>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</si>
  <si>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</si>
  <si>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</si>
  <si>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</si>
  <si>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</si>
  <si>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</si>
  <si>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</si>
  <si>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</si>
  <si>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</si>
  <si>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</si>
  <si>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</si>
  <si>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</si>
  <si>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</si>
  <si>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</si>
  <si>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</si>
  <si>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</si>
  <si>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</si>
  <si>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</si>
  <si>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</si>
  <si>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</si>
  <si>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</si>
  <si>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</si>
  <si>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</si>
  <si>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</si>
  <si>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</si>
  <si>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</si>
  <si>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</si>
  <si>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</si>
  <si>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</si>
  <si>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</si>
  <si>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</si>
  <si>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</si>
  <si>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</si>
  <si>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</si>
  <si>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</si>
  <si>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</si>
  <si>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</si>
  <si>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</si>
  <si>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</si>
  <si>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</si>
  <si>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</si>
  <si>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</si>
  <si>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</si>
  <si>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</si>
  <si>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</si>
  <si>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</si>
  <si>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</si>
  <si>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</si>
  <si>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</si>
  <si>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</si>
  <si>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</si>
  <si>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</si>
  <si>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</si>
  <si>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</si>
  <si>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</si>
  <si>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</si>
  <si>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</si>
  <si>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</si>
  <si>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</si>
  <si>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</si>
  <si>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</si>
  <si>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</si>
  <si>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</si>
  <si>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</si>
  <si>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</si>
  <si>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</si>
  <si>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</si>
  <si>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</si>
  <si>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</si>
  <si>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</si>
  <si>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</si>
  <si>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</si>
  <si>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</si>
  <si>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</si>
  <si>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</si>
  <si>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</si>
  <si>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</si>
  <si>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</si>
  <si>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</si>
  <si>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</si>
  <si>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</si>
  <si>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</si>
  <si>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</si>
  <si>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</si>
  <si>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</si>
  <si>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</si>
  <si>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</si>
  <si>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</si>
  <si>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</si>
  <si>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</si>
  <si>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</si>
  <si>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</si>
  <si>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</si>
  <si>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</si>
  <si>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</si>
  <si>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</si>
  <si>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</si>
  <si>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</si>
  <si>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</si>
  <si>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</si>
  <si>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</si>
  <si>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</si>
  <si>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</si>
  <si>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</si>
  <si>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</si>
  <si>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</si>
  <si>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</si>
  <si>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</si>
  <si>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</si>
  <si>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</si>
  <si>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</si>
  <si>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</si>
  <si>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</si>
  <si>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</si>
  <si>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</si>
  <si>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</si>
  <si>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</si>
  <si>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</si>
  <si>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</si>
  <si>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</si>
  <si>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</si>
  <si>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</si>
  <si>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</si>
  <si>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</si>
  <si>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</si>
  <si>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</si>
  <si>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</si>
  <si>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</si>
  <si>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</si>
  <si>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</si>
  <si>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</si>
  <si>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</si>
  <si>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</si>
  <si>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</si>
  <si>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</si>
  <si>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</si>
  <si>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</si>
  <si>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</si>
  <si>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</si>
  <si>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</si>
  <si>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</si>
  <si>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</si>
  <si>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</si>
  <si>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</si>
  <si>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</si>
  <si>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</si>
  <si>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</si>
  <si>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</si>
  <si>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</si>
  <si>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</si>
  <si>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</si>
  <si>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</si>
  <si>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</si>
  <si>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</si>
  <si>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</si>
  <si>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</si>
  <si>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</si>
  <si>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</si>
  <si>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</si>
  <si>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</si>
  <si>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</si>
  <si>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</si>
  <si>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</si>
  <si>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</si>
  <si>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</si>
  <si>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</si>
  <si>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</si>
  <si>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</si>
  <si>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</si>
  <si>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</si>
  <si>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</si>
  <si>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</si>
  <si>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</si>
  <si>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</si>
  <si>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</si>
  <si>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</si>
  <si>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</si>
  <si>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</si>
  <si>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</si>
  <si>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</si>
  <si>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</si>
  <si>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</si>
  <si>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</si>
  <si>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</si>
  <si>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</si>
  <si>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</si>
  <si>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</si>
  <si>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</si>
  <si>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</si>
  <si>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</si>
  <si>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</si>
  <si>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Avg. Rating</t>
  </si>
  <si>
    <t>Total Duration</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</si>
  <si>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</si>
  <si>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</si>
  <si>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</si>
  <si>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</si>
  <si>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</si>
  <si>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</si>
  <si>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</si>
  <si>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</si>
  <si>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</si>
  <si>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</si>
  <si>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</si>
  <si>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</si>
  <si>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</si>
  <si>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</si>
  <si>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</si>
  <si>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</si>
  <si>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</si>
  <si>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</si>
  <si>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</si>
  <si>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</si>
  <si>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</si>
  <si>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</si>
  <si>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</si>
  <si>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</si>
  <si>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</si>
  <si>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</si>
  <si>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</si>
  <si>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</si>
  <si>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</si>
  <si>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</si>
  <si>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</si>
  <si>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</si>
  <si>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</si>
  <si>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</si>
  <si>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</si>
  <si>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</si>
  <si>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Amount</t>
  </si>
  <si>
    <t>Labels:</t>
  </si>
  <si>
    <t>Image:</t>
  </si>
  <si>
    <r>
      <rPr>
        <b/>
        <sz val="26"/>
        <color rgb="FF98EBEC"/>
        <rFont val="Aptos ExtraBold"/>
        <family val="2"/>
        <scheme val="major"/>
      </rPr>
      <t xml:space="preserve">CALL CENTRE REPORT - </t>
    </r>
    <r>
      <rPr>
        <sz val="26"/>
        <color rgb="FF98EBEC"/>
        <rFont val="Aptos ExtraBold"/>
        <family val="2"/>
        <scheme val="major"/>
      </rPr>
      <t>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</si>
</sst>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409]#,###.0,&quot;k&quot;"/>
    <numFmt numFmtId="168" formatCode="[$$-409]#,##0_ ;\-[$$-409]#,##0\ "/>
    <numFmt numFmtId="169" formatCode="[$$-409]#,##0"/>
  </numFmts>
  <fonts count="13" x14ac:knownFonts="1">
    <font>
      <sz val="11"/>
      <color theme="1"/>
      <name val="Aptos Display"/>
      <family val="2"/>
      <scheme val="minor"/>
    </font>
    <font>
      <b/>
      <sz val="11"/>
      <color theme="1"/>
      <name val="Aptos Display"/>
      <family val="2"/>
      <scheme val="minor"/>
    </font>
    <font>
      <sz val="8"/>
      <name val="Aptos Display"/>
      <family val="2"/>
      <scheme val="minor"/>
    </font>
    <font>
      <sz val="18"/>
      <color theme="1"/>
      <name val="Aptos ExtraBold"/>
      <family val="2"/>
    </font>
    <font>
      <sz val="11"/>
      <color theme="1"/>
      <name val="Aptos Display"/>
      <family val="2"/>
      <scheme val="minor"/>
    </font>
    <font>
      <sz val="11"/>
      <color theme="0" tint="-0.14999847407452621"/>
      <name val="Aptos Display"/>
      <family val="2"/>
      <scheme val="minor"/>
    </font>
    <font>
      <sz val="24"/>
      <color theme="0" tint="-0.14999847407452621"/>
      <name val="Aptos ExtraBold"/>
      <family val="2"/>
      <scheme val="major"/>
    </font>
    <font>
      <sz val="11"/>
      <color theme="1" tint="4.9989318521683403E-2"/>
      <name val="Aptos Display"/>
      <family val="2"/>
      <scheme val="minor"/>
    </font>
    <font>
      <b/>
      <sz val="11"/>
      <color theme="1" tint="4.9989318521683403E-2"/>
      <name val="Aptos Display"/>
      <family val="2"/>
      <scheme val="minor"/>
    </font>
    <font>
      <sz val="10"/>
      <color theme="1" tint="4.9989318521683403E-2"/>
      <name val="Aptos Display"/>
      <family val="2"/>
      <scheme val="minor"/>
    </font>
    <font>
      <sz val="9"/>
      <color theme="0" tint="-0.34998626667073579"/>
      <name val="Aptos Display"/>
      <family val="2"/>
      <scheme val="minor"/>
    </font>
    <font>
      <b/>
      <sz val="26"/>
      <color rgb="FF98EBEC"/>
      <name val="Aptos ExtraBold"/>
      <family val="2"/>
      <scheme val="major"/>
    </font>
    <font>
      <sz val="26"/>
      <color rgb="FF98EBEC"/>
      <name val="Aptos ExtraBold"/>
      <family val="2"/>
      <scheme val="major"/>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bgColor indexed="64"/>
      </patternFill>
    </fill>
    <fill>
      <gradientFill degree="180">
        <stop position="0">
          <color theme="0" tint="-5.0965910824915313E-2"/>
        </stop>
        <stop position="1">
          <color rgb="FF2F4858"/>
        </stop>
      </gradient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168" fontId="0" fillId="0" borderId="0" xfId="0" applyNumberFormat="1"/>
    <xf numFmtId="0" fontId="0" fillId="0" borderId="0" xfId="0" applyAlignment="1">
      <alignment horizontal="left" indent="1"/>
    </xf>
    <xf numFmtId="9" fontId="0" fillId="0" borderId="0" xfId="1" applyFont="1"/>
    <xf numFmtId="0" fontId="5" fillId="3" borderId="0" xfId="0" applyFont="1" applyFill="1"/>
    <xf numFmtId="0" fontId="7" fillId="5" borderId="10" xfId="0" applyFont="1" applyFill="1" applyBorder="1"/>
    <xf numFmtId="0" fontId="8" fillId="5" borderId="11" xfId="0" applyFont="1" applyFill="1" applyBorder="1" applyAlignment="1">
      <alignment horizontal="right"/>
    </xf>
    <xf numFmtId="0" fontId="8" fillId="5" borderId="12" xfId="0" applyFont="1" applyFill="1" applyBorder="1" applyAlignment="1">
      <alignment horizontal="right"/>
    </xf>
    <xf numFmtId="0" fontId="9" fillId="5" borderId="0" xfId="0" applyFont="1" applyFill="1"/>
    <xf numFmtId="0" fontId="9" fillId="5" borderId="14" xfId="0" applyFont="1" applyFill="1" applyBorder="1"/>
    <xf numFmtId="0" fontId="9" fillId="5" borderId="13" xfId="0" applyFont="1" applyFill="1" applyBorder="1"/>
    <xf numFmtId="169" fontId="9" fillId="5" borderId="0" xfId="0" applyNumberFormat="1" applyFont="1" applyFill="1"/>
    <xf numFmtId="169" fontId="9" fillId="5" borderId="14" xfId="0" applyNumberFormat="1" applyFont="1" applyFill="1" applyBorder="1"/>
    <xf numFmtId="0" fontId="9" fillId="5" borderId="15" xfId="0" applyFont="1" applyFill="1" applyBorder="1"/>
    <xf numFmtId="169" fontId="9" fillId="5" borderId="16" xfId="0" applyNumberFormat="1" applyFont="1" applyFill="1" applyBorder="1"/>
    <xf numFmtId="169" fontId="9" fillId="5" borderId="17" xfId="0" applyNumberFormat="1" applyFont="1" applyFill="1" applyBorder="1"/>
    <xf numFmtId="0" fontId="8" fillId="5" borderId="13" xfId="0" applyFont="1" applyFill="1" applyBorder="1"/>
    <xf numFmtId="0" fontId="10" fillId="3" borderId="0" xfId="0" applyFont="1" applyFill="1" applyAlignment="1">
      <alignment horizontal="center"/>
    </xf>
    <xf numFmtId="0" fontId="10" fillId="3" borderId="14" xfId="0" applyFont="1" applyFill="1" applyBorder="1" applyAlignment="1">
      <alignment horizontal="center"/>
    </xf>
    <xf numFmtId="0" fontId="12" fillId="6" borderId="0" xfId="0" applyFont="1" applyFill="1"/>
    <xf numFmtId="0" fontId="6" fillId="6" borderId="0" xfId="0" applyFont="1" applyFill="1"/>
    <xf numFmtId="0" fontId="5" fillId="3" borderId="0" xfId="0" applyFont="1" applyFill="1" applyAlignment="1">
      <alignment horizontal="center"/>
    </xf>
    <xf numFmtId="0" fontId="5" fillId="3" borderId="14" xfId="0" applyFont="1" applyFill="1" applyBorder="1" applyAlignment="1">
      <alignment horizontal="center"/>
    </xf>
  </cellXfs>
  <cellStyles count="2">
    <cellStyle name="Normal" xfId="0" builtinId="0"/>
    <cellStyle name="Percent" xfId="1" builtinId="5"/>
  </cellStyles>
  <dxfs count="24">
    <dxf>
      <fill>
        <patternFill>
          <bgColor rgb="FF98EBEC"/>
        </patternFill>
      </fill>
      <border>
        <left style="thin">
          <color theme="8" tint="-0.24994659260841701"/>
        </left>
        <right style="thin">
          <color theme="8" tint="-0.24994659260841701"/>
        </right>
        <vertical/>
        <horizontal/>
      </border>
    </dxf>
    <dxf>
      <fill>
        <patternFill>
          <bgColor theme="8" tint="0.39997558519241921"/>
        </patternFill>
      </fill>
    </dxf>
    <dxf>
      <fill>
        <patternFill patternType="solid">
          <bgColor theme="0" tint="-4.9989318521683403E-2"/>
        </patternFill>
      </fill>
    </dxf>
    <dxf>
      <numFmt numFmtId="168" formatCode="[$$-409]#,##0_ ;\-[$$-409]#,##0\ "/>
    </dxf>
    <dxf>
      <numFmt numFmtId="168" formatCode="[$$-409]#,##0_ ;\-[$$-409]#,##0\ "/>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Display"/>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3"/>
    </tableStyle>
    <tableStyle name="SlicerStyleDark5 2" pivot="0" table="0" count="10" xr9:uid="{87C7B770-0796-483C-85AC-F8B321B2E915}">
      <tableStyleElement type="wholeTable" dxfId="22"/>
      <tableStyleElement type="headerRow" dxfId="21"/>
    </tableStyle>
    <tableStyle name="SlicerStyleDark5 3" pivot="0" table="0" count="10" xr9:uid="{26D589C1-FC23-46AE-B909-5F42AD5CF472}">
      <tableStyleElement type="wholeTable" dxfId="20"/>
      <tableStyleElement type="headerRow" dxfId="19"/>
    </tableStyle>
  </tableStyles>
  <colors>
    <mruColors>
      <color rgb="FF98EBEC"/>
      <color rgb="FF2F4858"/>
      <color rgb="FF33658A"/>
      <color rgb="FF55DDE0"/>
      <color rgb="FFEB9C0A"/>
      <color rgb="FFF7B43B"/>
      <color rgb="FFF6AE2D"/>
      <color rgb="FFF7B267"/>
      <color rgb="FFF2641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[call-centre-report-dashboard-excel-portfolio-project.xlsx]pivots!monthly trend</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latin typeface="+mj-lt"/>
              </a:rPr>
              <a:t>Call Trend</a:t>
            </a:r>
          </a:p>
        </c:rich>
      </c:tx>
      <c:layout>
        <c:manualLayout>
          <c:xMode val="edge"/>
          <c:yMode val="edge"/>
          <c:x val="3.249300087489067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1000">
                <a:srgbClr val="EB9C0A">
                  <a:lumMod val="99000"/>
                  <a:alpha val="50000"/>
                </a:srgbClr>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B9C0A"/>
            </a:solidFill>
            <a:round/>
          </a:ln>
          <a:effectLst/>
        </c:spPr>
        <c:marker>
          <c:symbol val="circle"/>
          <c:size val="7"/>
          <c:spPr>
            <a:solidFill>
              <a:schemeClr val="bg1">
                <a:lumMod val="95000"/>
              </a:schemeClr>
            </a:solidFill>
            <a:ln w="25400">
              <a:solidFill>
                <a:srgbClr val="2F485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pivots!$C$20</c:f>
              <c:strCache>
                <c:ptCount val="1"/>
                <c:pt idx="0">
                  <c:v>Call Count2</c:v>
                </c:pt>
              </c:strCache>
            </c:strRef>
          </c:tx>
          <c:spPr>
            <a:gradFill>
              <a:gsLst>
                <a:gs pos="31000">
                  <a:srgbClr val="EB9C0A">
                    <a:lumMod val="99000"/>
                    <a:alpha val="50000"/>
                  </a:srgbClr>
                </a:gs>
                <a:gs pos="100000">
                  <a:schemeClr val="bg1"/>
                </a:gs>
              </a:gsLst>
              <a:lin ang="5400000" scaled="1"/>
            </a:gradFill>
            <a:ln>
              <a:no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2EE4-42A2-B239-8D4ACDD9EDB9}"/>
            </c:ext>
          </c:extLst>
        </c:ser>
        <c:dLbls>
          <c:showLegendKey val="0"/>
          <c:showVal val="0"/>
          <c:showCatName val="0"/>
          <c:showSerName val="0"/>
          <c:showPercent val="0"/>
          <c:showBubbleSize val="0"/>
        </c:dLbls>
        <c:axId val="284870831"/>
        <c:axId val="284880911"/>
      </c:areaChart>
      <c:lineChart>
        <c:grouping val="standard"/>
        <c:varyColors val="0"/>
        <c:ser>
          <c:idx val="0"/>
          <c:order val="0"/>
          <c:tx>
            <c:strRef>
              <c:f>pivots!$B$20</c:f>
              <c:strCache>
                <c:ptCount val="1"/>
                <c:pt idx="0">
                  <c:v>Call Count</c:v>
                </c:pt>
              </c:strCache>
            </c:strRef>
          </c:tx>
          <c:spPr>
            <a:ln w="28575" cap="rnd">
              <a:solidFill>
                <a:srgbClr val="EB9C0A"/>
              </a:solidFill>
              <a:round/>
            </a:ln>
            <a:effectLst/>
          </c:spPr>
          <c:marker>
            <c:symbol val="circle"/>
            <c:size val="7"/>
            <c:spPr>
              <a:solidFill>
                <a:schemeClr val="bg1">
                  <a:lumMod val="95000"/>
                </a:schemeClr>
              </a:solidFill>
              <a:ln w="25400">
                <a:solidFill>
                  <a:srgbClr val="2F4858"/>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2EE4-42A2-B239-8D4ACDD9EDB9}"/>
            </c:ext>
          </c:extLst>
        </c:ser>
        <c:dLbls>
          <c:showLegendKey val="0"/>
          <c:showVal val="0"/>
          <c:showCatName val="0"/>
          <c:showSerName val="0"/>
          <c:showPercent val="0"/>
          <c:showBubbleSize val="0"/>
        </c:dLbls>
        <c:marker val="1"/>
        <c:smooth val="0"/>
        <c:axId val="284870831"/>
        <c:axId val="284880911"/>
      </c:lineChart>
      <c:catAx>
        <c:axId val="2848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80911"/>
        <c:crosses val="autoZero"/>
        <c:auto val="1"/>
        <c:lblAlgn val="ctr"/>
        <c:lblOffset val="100"/>
        <c:noMultiLvlLbl val="0"/>
      </c:catAx>
      <c:valAx>
        <c:axId val="284880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7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6">
                    <a:lumMod val="75000"/>
                  </a:schemeClr>
                </a:solidFill>
                <a:latin typeface="+mj-lt"/>
              </a:rPr>
              <a:t>Calls</a:t>
            </a:r>
          </a:p>
        </c:rich>
      </c:tx>
      <c:layout>
        <c:manualLayout>
          <c:xMode val="edge"/>
          <c:yMode val="edge"/>
          <c:x val="0.12341562029541515"/>
          <c:y val="2.98857898070042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pivots!$F$42:$F$46</c:f>
              <c:strCache>
                <c:ptCount val="5"/>
                <c:pt idx="0">
                  <c:v>R01</c:v>
                </c:pt>
                <c:pt idx="1">
                  <c:v>R02</c:v>
                </c:pt>
                <c:pt idx="2">
                  <c:v>R03</c:v>
                </c:pt>
                <c:pt idx="3">
                  <c:v>R04</c:v>
                </c:pt>
                <c:pt idx="4">
                  <c:v>R05</c:v>
                </c:pt>
              </c:strCache>
            </c:strRef>
          </c:cat>
          <c:val>
            <c:numRef>
              <c:f>pivots!$G$42:$G$46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91D-4075-AA68-8E8912A53F1C}"/>
            </c:ext>
          </c:extLst>
        </c:ser>
        <c:ser>
          <c:idx val="1"/>
          <c:order val="1"/>
          <c:tx>
            <c:strRef>
              <c:f>pivots!$I$41</c:f>
              <c:strCache>
                <c:ptCount val="1"/>
                <c:pt idx="0">
                  <c:v>sel. calls</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invertIfNegative val="0"/>
          <c:dPt>
            <c:idx val="1"/>
            <c:invertIfNegative val="0"/>
            <c:bubble3D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2-791D-4075-AA68-8E8912A53F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pivots!$I$42:$I$46</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791D-4075-AA68-8E8912A53F1C}"/>
            </c:ext>
          </c:extLst>
        </c:ser>
        <c:dLbls>
          <c:dLblPos val="outEnd"/>
          <c:showLegendKey val="0"/>
          <c:showVal val="1"/>
          <c:showCatName val="0"/>
          <c:showSerName val="0"/>
          <c:showPercent val="0"/>
          <c:showBubbleSize val="0"/>
        </c:dLbls>
        <c:gapWidth val="25"/>
        <c:overlap val="100"/>
        <c:axId val="1037092607"/>
        <c:axId val="1037094047"/>
      </c:barChart>
      <c:catAx>
        <c:axId val="103709260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094047"/>
        <c:crosses val="autoZero"/>
        <c:auto val="1"/>
        <c:lblAlgn val="ctr"/>
        <c:lblOffset val="100"/>
        <c:noMultiLvlLbl val="0"/>
      </c:catAx>
      <c:valAx>
        <c:axId val="1037094047"/>
        <c:scaling>
          <c:orientation val="minMax"/>
          <c:min val="0"/>
        </c:scaling>
        <c:delete val="1"/>
        <c:axPos val="t"/>
        <c:numFmt formatCode="General" sourceLinked="1"/>
        <c:majorTickMark val="out"/>
        <c:minorTickMark val="none"/>
        <c:tickLblPos val="nextTo"/>
        <c:crossAx val="103709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1">
                    <a:lumMod val="75000"/>
                  </a:schemeClr>
                </a:solidFill>
                <a:latin typeface="+mj-lt"/>
              </a:rPr>
              <a:t>Amount</a:t>
            </a:r>
          </a:p>
        </c:rich>
      </c:tx>
      <c:layout>
        <c:manualLayout>
          <c:xMode val="edge"/>
          <c:yMode val="edge"/>
          <c:x val="9.0158794883345564E-2"/>
          <c:y val="3.3621513532879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pivots!$F$42:$F$46</c:f>
              <c:strCache>
                <c:ptCount val="5"/>
                <c:pt idx="0">
                  <c:v>R01</c:v>
                </c:pt>
                <c:pt idx="1">
                  <c:v>R02</c:v>
                </c:pt>
                <c:pt idx="2">
                  <c:v>R03</c:v>
                </c:pt>
                <c:pt idx="3">
                  <c:v>R04</c:v>
                </c:pt>
                <c:pt idx="4">
                  <c:v>R05</c:v>
                </c:pt>
              </c:strCache>
            </c:strRef>
          </c:cat>
          <c:val>
            <c:numRef>
              <c:f>pivots!$H$42:$H$46</c:f>
              <c:numCache>
                <c:formatCode>[$$-409]#,###.0,"k"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C22-4C20-A62E-97E4021E66F0}"/>
            </c:ext>
          </c:extLst>
        </c:ser>
        <c:ser>
          <c:idx val="1"/>
          <c:order val="1"/>
          <c:tx>
            <c:strRef>
              <c:f>pivots!$J$41</c:f>
              <c:strCache>
                <c:ptCount val="1"/>
                <c:pt idx="0">
                  <c:v>sel. Amount</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invertIfNegative val="0"/>
          <c:dPt>
            <c:idx val="1"/>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extLst>
              <c:ext xmlns:c16="http://schemas.microsoft.com/office/drawing/2014/chart" uri="{C3380CC4-5D6E-409C-BE32-E72D297353CC}">
                <c16:uniqueId val="{00000002-9C22-4C20-A62E-97E4021E66F0}"/>
              </c:ext>
            </c:extLst>
          </c:dPt>
          <c:val>
            <c:numRef>
              <c:f>pivots!$J$42:$J$46</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9C22-4C20-A62E-97E4021E66F0}"/>
            </c:ext>
          </c:extLst>
        </c:ser>
        <c:dLbls>
          <c:showLegendKey val="0"/>
          <c:showVal val="0"/>
          <c:showCatName val="0"/>
          <c:showSerName val="0"/>
          <c:showPercent val="0"/>
          <c:showBubbleSize val="0"/>
        </c:dLbls>
        <c:gapWidth val="25"/>
        <c:overlap val="100"/>
        <c:axId val="284859791"/>
        <c:axId val="284858351"/>
      </c:barChart>
      <c:catAx>
        <c:axId val="284859791"/>
        <c:scaling>
          <c:orientation val="maxMin"/>
        </c:scaling>
        <c:delete val="1"/>
        <c:axPos val="l"/>
        <c:numFmt formatCode="General" sourceLinked="1"/>
        <c:majorTickMark val="out"/>
        <c:minorTickMark val="none"/>
        <c:tickLblPos val="nextTo"/>
        <c:crossAx val="284858351"/>
        <c:crosses val="autoZero"/>
        <c:auto val="1"/>
        <c:lblAlgn val="ctr"/>
        <c:lblOffset val="100"/>
        <c:noMultiLvlLbl val="0"/>
      </c:catAx>
      <c:valAx>
        <c:axId val="284858351"/>
        <c:scaling>
          <c:orientation val="minMax"/>
        </c:scaling>
        <c:delete val="1"/>
        <c:axPos val="t"/>
        <c:numFmt formatCode="[$$-409]#,###.0,&quot;k&quot;" sourceLinked="1"/>
        <c:majorTickMark val="out"/>
        <c:minorTickMark val="none"/>
        <c:tickLblPos val="nextTo"/>
        <c:crossAx val="28485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[call-centre-report-dashboard-excel-portfolio-project.xlsx]pivots!PivotTable7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33658A"/>
                </a:solidFill>
                <a:latin typeface="+mn-lt"/>
              </a:rPr>
              <a:t>Female</a:t>
            </a:r>
            <a:r>
              <a:rPr lang="en-IN" sz="1600" b="1">
                <a:solidFill>
                  <a:schemeClr val="tx1">
                    <a:lumMod val="95000"/>
                    <a:lumOff val="5000"/>
                  </a:schemeClr>
                </a:solidFill>
                <a:latin typeface="+mn-lt"/>
              </a:rPr>
              <a:t> vs. </a:t>
            </a:r>
            <a:r>
              <a:rPr lang="en-IN" sz="1600" b="1">
                <a:solidFill>
                  <a:srgbClr val="EB9C0A"/>
                </a:solidFill>
                <a:latin typeface="+mn-lt"/>
              </a:rPr>
              <a:t>Male</a:t>
            </a:r>
            <a:r>
              <a:rPr lang="en-IN" sz="1600" b="1">
                <a:solidFill>
                  <a:schemeClr val="tx1">
                    <a:lumMod val="95000"/>
                    <a:lumOff val="5000"/>
                  </a:schemeClr>
                </a:solidFill>
                <a:latin typeface="+mn-lt"/>
              </a:rPr>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658A"/>
          </a:solidFill>
          <a:ln>
            <a:noFill/>
          </a:ln>
          <a:effectLst/>
        </c:spPr>
        <c:marker>
          <c:symbol val="none"/>
        </c:marker>
        <c:dLbl>
          <c:idx val="0"/>
          <c:spPr>
            <a:solidFill>
              <a:schemeClr val="bg1">
                <a:lumMod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EB9C0A"/>
          </a:solidFill>
          <a:ln>
            <a:noFill/>
          </a:ln>
          <a:effectLst/>
        </c:spPr>
        <c:marker>
          <c:symbol val="none"/>
        </c:marker>
        <c:dLbl>
          <c:idx val="0"/>
          <c:spPr>
            <a:solidFill>
              <a:schemeClr val="bg1">
                <a:lumMod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pivots!$B$60:$B$61</c:f>
              <c:strCache>
                <c:ptCount val="1"/>
                <c:pt idx="0">
                  <c:v>Female</c:v>
                </c:pt>
              </c:strCache>
            </c:strRef>
          </c:tx>
          <c:spPr>
            <a:solidFill>
              <a:srgbClr val="33658A"/>
            </a:solidFill>
            <a:ln>
              <a:noFill/>
            </a:ln>
            <a:effectLst/>
          </c:spPr>
          <c:invertIfNegative val="0"/>
          <c:dLbls>
            <c:spPr>
              <a:solidFill>
                <a:schemeClr val="bg1">
                  <a:lumMod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pivots!$B$62:$B$65</c:f>
              <c:numCache>
                <c:formatCode>#,##0</c:formatCode>
                <c:ptCount val="3"/>
                <c:pt idx="0">
                  <c:v>144</c:v>
                </c:pt>
                <c:pt idx="1">
                  <c:v>326</c:v>
                </c:pt>
                <c:pt idx="2">
                  <c:v>129</c:v>
                </c:pt>
              </c:numCache>
            </c:numRef>
          </c:val>
          <c:extLst>
            <c:ext xmlns:c16="http://schemas.microsoft.com/office/drawing/2014/chart" uri="{C3380CC4-5D6E-409C-BE32-E72D297353CC}">
              <c16:uniqueId val="{00000000-5578-4520-A61A-5AA768356DE8}"/>
            </c:ext>
          </c:extLst>
        </c:ser>
        <c:ser>
          <c:idx val="1"/>
          <c:order val="1"/>
          <c:tx>
            <c:strRef>
              <c:f>pivots!$C$60:$C$61</c:f>
              <c:strCache>
                <c:ptCount val="1"/>
                <c:pt idx="0">
                  <c:v>Male</c:v>
                </c:pt>
              </c:strCache>
            </c:strRef>
          </c:tx>
          <c:spPr>
            <a:solidFill>
              <a:srgbClr val="EB9C0A"/>
            </a:solidFill>
            <a:ln>
              <a:noFill/>
            </a:ln>
            <a:effectLst/>
          </c:spPr>
          <c:invertIfNegative val="0"/>
          <c:dLbls>
            <c:spPr>
              <a:solidFill>
                <a:schemeClr val="bg1">
                  <a:lumMod val="85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pivots!$A$62:$A$65</c:f>
              <c:strCache>
                <c:ptCount val="3"/>
                <c:pt idx="0">
                  <c:v>Cincinnati</c:v>
                </c:pt>
                <c:pt idx="1">
                  <c:v>Cleveland</c:v>
                </c:pt>
                <c:pt idx="2">
                  <c:v>Columbus</c:v>
                </c:pt>
              </c:strCache>
            </c:strRef>
          </c:cat>
          <c:val>
            <c:numRef>
              <c:f>pivots!$C$62:$C$65</c:f>
              <c:numCache>
                <c:formatCode>#,##0</c:formatCode>
                <c:ptCount val="3"/>
                <c:pt idx="0">
                  <c:v>132</c:v>
                </c:pt>
                <c:pt idx="1">
                  <c:v>63</c:v>
                </c:pt>
                <c:pt idx="2">
                  <c:v>206</c:v>
                </c:pt>
              </c:numCache>
            </c:numRef>
          </c:val>
          <c:extLst>
            <c:ext xmlns:c16="http://schemas.microsoft.com/office/drawing/2014/chart" uri="{C3380CC4-5D6E-409C-BE32-E72D297353CC}">
              <c16:uniqueId val="{00000001-5578-4520-A61A-5AA768356DE8}"/>
            </c:ext>
          </c:extLst>
        </c:ser>
        <c:dLbls>
          <c:dLblPos val="ctr"/>
          <c:showLegendKey val="0"/>
          <c:showVal val="1"/>
          <c:showCatName val="0"/>
          <c:showSerName val="0"/>
          <c:showPercent val="0"/>
          <c:showBubbleSize val="0"/>
        </c:dLbls>
        <c:gapWidth val="25"/>
        <c:overlap val="100"/>
        <c:axId val="284872751"/>
        <c:axId val="284864591"/>
      </c:barChart>
      <c:catAx>
        <c:axId val="2848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64591"/>
        <c:crosses val="autoZero"/>
        <c:auto val="1"/>
        <c:lblAlgn val="ctr"/>
        <c:lblOffset val="100"/>
        <c:noMultiLvlLbl val="0"/>
      </c:catAx>
      <c:valAx>
        <c:axId val="28486459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487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[call-centre-report-dashboard-excel-portfolio-project.xlsx]pivots!rep satisfaction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75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B9C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pivots!$B$73</c:f>
              <c:strCache>
                <c:ptCount val="1"/>
                <c:pt idx="0">
                  <c:v>Total</c:v>
                </c:pt>
              </c:strCache>
            </c:strRef>
          </c:tx>
          <c:spPr>
            <a:solidFill>
              <a:srgbClr val="EB9C0A"/>
            </a:solidFill>
            <a:ln>
              <a:noFill/>
            </a:ln>
            <a:effectLst/>
          </c:spPr>
          <c:invertIfNegative val="0"/>
          <c:cat>
            <c:strRef>
              <c:f>pivots!$A$74:$A$79</c:f>
              <c:strCache>
                <c:ptCount val="5"/>
                <c:pt idx="0">
                  <c:v>1</c:v>
                </c:pt>
                <c:pt idx="1">
                  <c:v>2</c:v>
                </c:pt>
                <c:pt idx="2">
                  <c:v>3</c:v>
                </c:pt>
                <c:pt idx="3">
                  <c:v>4</c:v>
                </c:pt>
                <c:pt idx="4">
                  <c:v>5</c:v>
                </c:pt>
              </c:strCache>
            </c:strRef>
          </c:cat>
          <c:val>
            <c:numRef>
              <c:f>pivots!$B$74:$B$79</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901E-4896-B26C-86C53CD1B103}"/>
            </c:ext>
          </c:extLst>
        </c:ser>
        <c:dLbls>
          <c:showLegendKey val="0"/>
          <c:showVal val="0"/>
          <c:showCatName val="0"/>
          <c:showSerName val="0"/>
          <c:showPercent val="0"/>
          <c:showBubbleSize val="0"/>
        </c:dLbls>
        <c:gapWidth val="25"/>
        <c:overlap val="-27"/>
        <c:axId val="1046777631"/>
        <c:axId val="1046775711"/>
      </c:barChart>
      <c:catAx>
        <c:axId val="104677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75711"/>
        <c:crosses val="autoZero"/>
        <c:auto val="1"/>
        <c:lblAlgn val="ctr"/>
        <c:lblOffset val="100"/>
        <c:noMultiLvlLbl val="0"/>
      </c:catAx>
      <c:valAx>
        <c:axId val="1046775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7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[call-centre-report-dashboard-excel-portfolio-project.xlsx]pivots!weekday trend</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5DDE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pivots!$H$20</c:f>
              <c:strCache>
                <c:ptCount val="1"/>
                <c:pt idx="0">
                  <c:v>Total</c:v>
                </c:pt>
              </c:strCache>
            </c:strRef>
          </c:tx>
          <c:spPr>
            <a:solidFill>
              <a:srgbClr val="55DD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pivots!$G$21:$G$28</c:f>
              <c:strCache>
                <c:ptCount val="7"/>
                <c:pt idx="0">
                  <c:v>Sunday</c:v>
                </c:pt>
                <c:pt idx="1">
                  <c:v>Monday</c:v>
                </c:pt>
                <c:pt idx="2">
                  <c:v>Tuesday</c:v>
                </c:pt>
                <c:pt idx="3">
                  <c:v>Wednesday</c:v>
                </c:pt>
                <c:pt idx="4">
                  <c:v>Thursday</c:v>
                </c:pt>
                <c:pt idx="5">
                  <c:v>Friday</c:v>
                </c:pt>
                <c:pt idx="6">
                  <c:v>Saturday</c:v>
                </c:pt>
              </c:strCache>
            </c:strRef>
          </c:cat>
          <c:val>
            <c:numRef>
              <c:f>pivots!$H$21:$H$28</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6645-49C2-B333-584F4B6610D7}"/>
            </c:ext>
          </c:extLst>
        </c:ser>
        <c:dLbls>
          <c:showLegendKey val="0"/>
          <c:showVal val="0"/>
          <c:showCatName val="0"/>
          <c:showSerName val="0"/>
          <c:showPercent val="0"/>
          <c:showBubbleSize val="0"/>
        </c:dLbls>
        <c:gapWidth val="25"/>
        <c:axId val="1037071967"/>
        <c:axId val="1037082527"/>
      </c:barChart>
      <c:catAx>
        <c:axId val="1037071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082527"/>
        <c:crosses val="autoZero"/>
        <c:auto val="1"/>
        <c:lblAlgn val="ctr"/>
        <c:lblOffset val="100"/>
        <c:noMultiLvlLbl val="0"/>
      </c:catAx>
      <c:valAx>
        <c:axId val="103708252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07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54094</xdr:colOff>
      <xdr:row>17</xdr:row>
      <xdr:rowOff>3096</xdr:rowOff>
    </xdr:from>
    <xdr:to>
      <xdr:col>15</xdr:col>
      <xdr:colOff>0</xdr:colOff>
      <xdr:row>25</xdr:row>
      <xdr:rowOff>94536</xdr:rowOff>
    </xdr:to>
    <mc:AlternateContent xmlns:mc="http://schemas.openxmlformats.org/markup-compatibility/2006" xmlns:a14="http://schemas.microsoft.com/office/drawing/2010/main">
      <mc:Choice Requires="a14">
        <xdr:graphicFrame macro="">
          <xdr:nvGraphicFramePr>
            <xdr:cNvPr id="23" name="Representative">
              <a:extLst>
                <a:ext uri="{FF2B5EF4-FFF2-40B4-BE49-F238E27FC236}">
                  <a16:creationId xmlns:a16="http://schemas.microsoft.com/office/drawing/2014/main" id="{DAEE38E3-5789-4B2B-8B61-6F3818B5B00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317734" y="3264456"/>
              <a:ext cx="1248926"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327660</xdr:colOff>
      <xdr:row>17</xdr:row>
      <xdr:rowOff>15240</xdr:rowOff>
    </xdr:from>
    <xdr:to>
      <xdr:col>12</xdr:col>
      <xdr:colOff>60960</xdr:colOff>
      <xdr:row>35</xdr:row>
      <xdr:rowOff>119742</xdr:rowOff>
    </xdr:to>
    <xdr:sp macro="" textlink="">
      <xdr:nvSpPr>
        <xdr:cNvPr id="28" name="Rectangle 27">
          <a:extLst>
            <a:ext uri="{FF2B5EF4-FFF2-40B4-BE49-F238E27FC236}">
              <a16:creationId xmlns:a16="http://schemas.microsoft.com/office/drawing/2014/main" id="{17B32FCF-0192-6899-3C97-CED8A082BFD5}"/>
            </a:ext>
          </a:extLst>
        </xdr:cNvPr>
        <xdr:cNvSpPr/>
      </xdr:nvSpPr>
      <xdr:spPr>
        <a:xfrm>
          <a:off x="1982289" y="3444240"/>
          <a:ext cx="4337957" cy="3435531"/>
        </a:xfrm>
        <a:prstGeom prst="rect">
          <a:avLst/>
        </a:prstGeom>
        <a:solidFill>
          <a:schemeClr val="bg1"/>
        </a:solidFill>
        <a:ln w="6350">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3</xdr:row>
      <xdr:rowOff>30480</xdr:rowOff>
    </xdr:from>
    <xdr:to>
      <xdr:col>3</xdr:col>
      <xdr:colOff>563880</xdr:colOff>
      <xdr:row>7</xdr:row>
      <xdr:rowOff>152400</xdr:rowOff>
    </xdr:to>
    <xdr:sp macro="" textlink="pivots!A4">
      <xdr:nvSpPr>
        <xdr:cNvPr id="2" name="Rectangle 1">
          <a:extLst>
            <a:ext uri="{FF2B5EF4-FFF2-40B4-BE49-F238E27FC236}">
              <a16:creationId xmlns:a16="http://schemas.microsoft.com/office/drawing/2014/main" id="{E6BBECA8-F033-8A69-02D2-DC1E200C0755}"/>
            </a:ext>
          </a:extLst>
        </xdr:cNvPr>
        <xdr:cNvSpPr/>
      </xdr:nvSpPr>
      <xdr:spPr>
        <a:xfrm>
          <a:off x="441960" y="579120"/>
          <a:ext cx="1173480" cy="853440"/>
        </a:xfrm>
        <a:prstGeom prst="rect">
          <a:avLst/>
        </a:prstGeom>
        <a:solidFill>
          <a:srgbClr val="F264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53D053-230C-4B40-B20B-6830937B00FE}"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twoCellAnchor>
    <xdr:from>
      <xdr:col>2</xdr:col>
      <xdr:colOff>152400</xdr:colOff>
      <xdr:row>3</xdr:row>
      <xdr:rowOff>53340</xdr:rowOff>
    </xdr:from>
    <xdr:to>
      <xdr:col>3</xdr:col>
      <xdr:colOff>449580</xdr:colOff>
      <xdr:row>4</xdr:row>
      <xdr:rowOff>83820</xdr:rowOff>
    </xdr:to>
    <xdr:sp macro="" textlink="">
      <xdr:nvSpPr>
        <xdr:cNvPr id="3" name="TextBox 2">
          <a:extLst>
            <a:ext uri="{FF2B5EF4-FFF2-40B4-BE49-F238E27FC236}">
              <a16:creationId xmlns:a16="http://schemas.microsoft.com/office/drawing/2014/main" id="{4A0A3AA1-FD94-BFB5-C271-0418F83757BA}"/>
            </a:ext>
          </a:extLst>
        </xdr:cNvPr>
        <xdr:cNvSpPr txBox="1"/>
      </xdr:nvSpPr>
      <xdr:spPr>
        <a:xfrm>
          <a:off x="594360" y="601980"/>
          <a:ext cx="906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solidFill>
              <a:latin typeface="+mj-lt"/>
            </a:rPr>
            <a:t>Calls</a:t>
          </a:r>
          <a:endParaRPr lang="en-IN" sz="1100">
            <a:solidFill>
              <a:schemeClr val="bg1"/>
            </a:solidFill>
            <a:latin typeface="+mj-lt"/>
          </a:endParaRPr>
        </a:p>
      </xdr:txBody>
    </xdr:sp>
    <xdr:clientData/>
  </xdr:twoCellAnchor>
  <xdr:twoCellAnchor editAs="oneCell">
    <xdr:from>
      <xdr:col>2</xdr:col>
      <xdr:colOff>51394</xdr:colOff>
      <xdr:row>3</xdr:row>
      <xdr:rowOff>86838</xdr:rowOff>
    </xdr:from>
    <xdr:to>
      <xdr:col>2</xdr:col>
      <xdr:colOff>222284</xdr:colOff>
      <xdr:row>4</xdr:row>
      <xdr:rowOff>70702</xdr:rowOff>
    </xdr:to>
    <xdr:pic>
      <xdr:nvPicPr>
        <xdr:cNvPr id="4" name="Graphic 3" descr="Receiver with solid fill">
          <a:extLst>
            <a:ext uri="{FF2B5EF4-FFF2-40B4-BE49-F238E27FC236}">
              <a16:creationId xmlns:a16="http://schemas.microsoft.com/office/drawing/2014/main" id="{B7C3248E-8748-4A42-9952-09F618F17B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372376">
          <a:off x="493354" y="635478"/>
          <a:ext cx="170890" cy="166744"/>
        </a:xfrm>
        <a:prstGeom prst="rect">
          <a:avLst/>
        </a:prstGeom>
      </xdr:spPr>
    </xdr:pic>
    <xdr:clientData/>
  </xdr:twoCellAnchor>
  <xdr:twoCellAnchor>
    <xdr:from>
      <xdr:col>2</xdr:col>
      <xdr:colOff>144780</xdr:colOff>
      <xdr:row>6</xdr:row>
      <xdr:rowOff>91440</xdr:rowOff>
    </xdr:from>
    <xdr:to>
      <xdr:col>3</xdr:col>
      <xdr:colOff>426720</xdr:colOff>
      <xdr:row>7</xdr:row>
      <xdr:rowOff>129540</xdr:rowOff>
    </xdr:to>
    <xdr:sp macro="" textlink="pivots!A9">
      <xdr:nvSpPr>
        <xdr:cNvPr id="5" name="TextBox 4">
          <a:extLst>
            <a:ext uri="{FF2B5EF4-FFF2-40B4-BE49-F238E27FC236}">
              <a16:creationId xmlns:a16="http://schemas.microsoft.com/office/drawing/2014/main" id="{AB1D1ACA-666E-B522-C019-96EC53AFE617}"/>
            </a:ext>
          </a:extLst>
        </xdr:cNvPr>
        <xdr:cNvSpPr txBox="1"/>
      </xdr:nvSpPr>
      <xdr:spPr>
        <a:xfrm>
          <a:off x="586740" y="1188720"/>
          <a:ext cx="8915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12F928-C6A8-4B1B-BE58-626D20522AF2}" type="TxLink">
            <a:rPr lang="en-US" sz="1100" b="0" i="0" u="none" strike="noStrike">
              <a:solidFill>
                <a:schemeClr val="bg1"/>
              </a:solidFill>
              <a:latin typeface="Aptos Display"/>
            </a:rPr>
            <a:pPr algn="ctr"/>
            <a:t>189</a:t>
          </a:fld>
          <a:endParaRPr lang="en-IN" sz="1100">
            <a:solidFill>
              <a:schemeClr val="bg1"/>
            </a:solidFill>
          </a:endParaRPr>
        </a:p>
      </xdr:txBody>
    </xdr:sp>
    <xdr:clientData/>
  </xdr:twoCellAnchor>
  <xdr:twoCellAnchor>
    <xdr:from>
      <xdr:col>2</xdr:col>
      <xdr:colOff>0</xdr:colOff>
      <xdr:row>10</xdr:row>
      <xdr:rowOff>0</xdr:rowOff>
    </xdr:from>
    <xdr:to>
      <xdr:col>3</xdr:col>
      <xdr:colOff>563880</xdr:colOff>
      <xdr:row>14</xdr:row>
      <xdr:rowOff>121920</xdr:rowOff>
    </xdr:to>
    <xdr:sp macro="" textlink="pivots!B4">
      <xdr:nvSpPr>
        <xdr:cNvPr id="6" name="Rectangle 5">
          <a:extLst>
            <a:ext uri="{FF2B5EF4-FFF2-40B4-BE49-F238E27FC236}">
              <a16:creationId xmlns:a16="http://schemas.microsoft.com/office/drawing/2014/main" id="{0E6E67FF-5EEC-4FD9-937C-BC81BAA118C6}"/>
            </a:ext>
          </a:extLst>
        </xdr:cNvPr>
        <xdr:cNvSpPr/>
      </xdr:nvSpPr>
      <xdr:spPr>
        <a:xfrm>
          <a:off x="441960" y="1828800"/>
          <a:ext cx="1173480" cy="853440"/>
        </a:xfrm>
        <a:prstGeom prst="rect">
          <a:avLst/>
        </a:prstGeom>
        <a:solidFill>
          <a:srgbClr val="F264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5DFDC4C-0573-4473-8FAD-AD482F45C1A0}" type="TxLink">
            <a:rPr lang="en-US" sz="2000" b="0" i="0" u="none" strike="noStrike">
              <a:solidFill>
                <a:schemeClr val="bg1"/>
              </a:solidFill>
              <a:latin typeface="+mj-lt"/>
              <a:ea typeface="+mn-ea"/>
              <a:cs typeface="+mn-cs"/>
            </a:rPr>
            <a:pPr marL="0" indent="0" algn="ctr"/>
            <a:t>$96,623 </a:t>
          </a:fld>
          <a:endParaRPr lang="en-IN" sz="2000" b="0" i="0" u="none" strike="noStrike">
            <a:solidFill>
              <a:schemeClr val="bg1"/>
            </a:solidFill>
            <a:latin typeface="+mj-lt"/>
            <a:ea typeface="+mn-ea"/>
            <a:cs typeface="+mn-cs"/>
          </a:endParaRPr>
        </a:p>
      </xdr:txBody>
    </xdr:sp>
    <xdr:clientData/>
  </xdr:twoCellAnchor>
  <xdr:twoCellAnchor>
    <xdr:from>
      <xdr:col>2</xdr:col>
      <xdr:colOff>152400</xdr:colOff>
      <xdr:row>10</xdr:row>
      <xdr:rowOff>22860</xdr:rowOff>
    </xdr:from>
    <xdr:to>
      <xdr:col>3</xdr:col>
      <xdr:colOff>449580</xdr:colOff>
      <xdr:row>11</xdr:row>
      <xdr:rowOff>53340</xdr:rowOff>
    </xdr:to>
    <xdr:sp macro="" textlink="">
      <xdr:nvSpPr>
        <xdr:cNvPr id="7" name="TextBox 6">
          <a:extLst>
            <a:ext uri="{FF2B5EF4-FFF2-40B4-BE49-F238E27FC236}">
              <a16:creationId xmlns:a16="http://schemas.microsoft.com/office/drawing/2014/main" id="{566AFAD3-76DC-4F1D-9AA0-74FBC1A49145}"/>
            </a:ext>
          </a:extLst>
        </xdr:cNvPr>
        <xdr:cNvSpPr txBox="1"/>
      </xdr:nvSpPr>
      <xdr:spPr>
        <a:xfrm>
          <a:off x="594360" y="1851660"/>
          <a:ext cx="906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solidFill>
              <a:latin typeface="+mj-lt"/>
            </a:rPr>
            <a:t>Amount</a:t>
          </a:r>
          <a:endParaRPr lang="en-IN" sz="1100">
            <a:solidFill>
              <a:schemeClr val="bg1"/>
            </a:solidFill>
            <a:latin typeface="+mj-lt"/>
          </a:endParaRPr>
        </a:p>
      </xdr:txBody>
    </xdr:sp>
    <xdr:clientData/>
  </xdr:twoCellAnchor>
  <xdr:twoCellAnchor editAs="oneCell">
    <xdr:from>
      <xdr:col>2</xdr:col>
      <xdr:colOff>68707</xdr:colOff>
      <xdr:row>10</xdr:row>
      <xdr:rowOff>71598</xdr:rowOff>
    </xdr:from>
    <xdr:to>
      <xdr:col>2</xdr:col>
      <xdr:colOff>235451</xdr:colOff>
      <xdr:row>11</xdr:row>
      <xdr:rowOff>55462</xdr:rowOff>
    </xdr:to>
    <xdr:pic>
      <xdr:nvPicPr>
        <xdr:cNvPr id="8" name="Graphic 7">
          <a:extLst>
            <a:ext uri="{FF2B5EF4-FFF2-40B4-BE49-F238E27FC236}">
              <a16:creationId xmlns:a16="http://schemas.microsoft.com/office/drawing/2014/main" id="{AFADB88B-ECAA-42D1-B31C-CD52A1C641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10667" y="1900398"/>
          <a:ext cx="166744" cy="166744"/>
        </a:xfrm>
        <a:prstGeom prst="rect">
          <a:avLst/>
        </a:prstGeom>
      </xdr:spPr>
    </xdr:pic>
    <xdr:clientData/>
  </xdr:twoCellAnchor>
  <xdr:twoCellAnchor>
    <xdr:from>
      <xdr:col>2</xdr:col>
      <xdr:colOff>144780</xdr:colOff>
      <xdr:row>13</xdr:row>
      <xdr:rowOff>60960</xdr:rowOff>
    </xdr:from>
    <xdr:to>
      <xdr:col>3</xdr:col>
      <xdr:colOff>426720</xdr:colOff>
      <xdr:row>14</xdr:row>
      <xdr:rowOff>99060</xdr:rowOff>
    </xdr:to>
    <xdr:sp macro="" textlink="pivots!B9">
      <xdr:nvSpPr>
        <xdr:cNvPr id="9" name="TextBox 8">
          <a:extLst>
            <a:ext uri="{FF2B5EF4-FFF2-40B4-BE49-F238E27FC236}">
              <a16:creationId xmlns:a16="http://schemas.microsoft.com/office/drawing/2014/main" id="{7502DDC7-D0D4-4741-8046-348AED098273}"/>
            </a:ext>
          </a:extLst>
        </xdr:cNvPr>
        <xdr:cNvSpPr txBox="1"/>
      </xdr:nvSpPr>
      <xdr:spPr>
        <a:xfrm>
          <a:off x="586740" y="2438400"/>
          <a:ext cx="8915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DC3F-2E16-4F5C-BB31-FB288BAE3B94}" type="TxLink">
            <a:rPr lang="en-US" sz="1100" b="0" i="0" u="none" strike="noStrike">
              <a:solidFill>
                <a:schemeClr val="bg1"/>
              </a:solidFill>
              <a:latin typeface="Aptos Display"/>
              <a:ea typeface="+mn-ea"/>
              <a:cs typeface="+mn-cs"/>
            </a:rPr>
            <a:pPr marL="0" indent="0" algn="ctr"/>
            <a:t>$18,415 </a:t>
          </a:fld>
          <a:endParaRPr lang="en-IN" sz="1100" b="0" i="0" u="none" strike="noStrike">
            <a:solidFill>
              <a:schemeClr val="bg1"/>
            </a:solidFill>
            <a:latin typeface="Aptos Display"/>
            <a:ea typeface="+mn-ea"/>
            <a:cs typeface="+mn-cs"/>
          </a:endParaRPr>
        </a:p>
      </xdr:txBody>
    </xdr:sp>
    <xdr:clientData/>
  </xdr:twoCellAnchor>
  <xdr:twoCellAnchor>
    <xdr:from>
      <xdr:col>2</xdr:col>
      <xdr:colOff>0</xdr:colOff>
      <xdr:row>17</xdr:row>
      <xdr:rowOff>0</xdr:rowOff>
    </xdr:from>
    <xdr:to>
      <xdr:col>3</xdr:col>
      <xdr:colOff>563880</xdr:colOff>
      <xdr:row>21</xdr:row>
      <xdr:rowOff>121920</xdr:rowOff>
    </xdr:to>
    <xdr:sp macro="" textlink="pivots!C4">
      <xdr:nvSpPr>
        <xdr:cNvPr id="10" name="Rectangle 9">
          <a:extLst>
            <a:ext uri="{FF2B5EF4-FFF2-40B4-BE49-F238E27FC236}">
              <a16:creationId xmlns:a16="http://schemas.microsoft.com/office/drawing/2014/main" id="{55AB9DF7-8972-4025-B052-DB37EA0D205B}"/>
            </a:ext>
          </a:extLst>
        </xdr:cNvPr>
        <xdr:cNvSpPr/>
      </xdr:nvSpPr>
      <xdr:spPr>
        <a:xfrm>
          <a:off x="438150" y="3076575"/>
          <a:ext cx="1173480" cy="845820"/>
        </a:xfrm>
        <a:prstGeom prst="rect">
          <a:avLst/>
        </a:prstGeom>
        <a:solidFill>
          <a:srgbClr val="F264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76AFB5B-2DEE-43CD-A480-7B21F5335CBD}"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2</xdr:col>
      <xdr:colOff>152400</xdr:colOff>
      <xdr:row>17</xdr:row>
      <xdr:rowOff>22860</xdr:rowOff>
    </xdr:from>
    <xdr:to>
      <xdr:col>3</xdr:col>
      <xdr:colOff>449580</xdr:colOff>
      <xdr:row>18</xdr:row>
      <xdr:rowOff>53340</xdr:rowOff>
    </xdr:to>
    <xdr:sp macro="" textlink="">
      <xdr:nvSpPr>
        <xdr:cNvPr id="11" name="TextBox 10">
          <a:extLst>
            <a:ext uri="{FF2B5EF4-FFF2-40B4-BE49-F238E27FC236}">
              <a16:creationId xmlns:a16="http://schemas.microsoft.com/office/drawing/2014/main" id="{3F8D59DC-1500-49B0-91A3-922E8703698F}"/>
            </a:ext>
          </a:extLst>
        </xdr:cNvPr>
        <xdr:cNvSpPr txBox="1"/>
      </xdr:nvSpPr>
      <xdr:spPr>
        <a:xfrm>
          <a:off x="594360" y="3131820"/>
          <a:ext cx="906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solidFill>
              <a:latin typeface="+mj-lt"/>
            </a:rPr>
            <a:t>Duration</a:t>
          </a:r>
          <a:endParaRPr lang="en-IN" sz="1100">
            <a:solidFill>
              <a:schemeClr val="bg1"/>
            </a:solidFill>
            <a:latin typeface="+mj-lt"/>
          </a:endParaRPr>
        </a:p>
      </xdr:txBody>
    </xdr:sp>
    <xdr:clientData/>
  </xdr:twoCellAnchor>
  <xdr:twoCellAnchor>
    <xdr:from>
      <xdr:col>2</xdr:col>
      <xdr:colOff>144780</xdr:colOff>
      <xdr:row>20</xdr:row>
      <xdr:rowOff>60960</xdr:rowOff>
    </xdr:from>
    <xdr:to>
      <xdr:col>3</xdr:col>
      <xdr:colOff>426720</xdr:colOff>
      <xdr:row>21</xdr:row>
      <xdr:rowOff>99060</xdr:rowOff>
    </xdr:to>
    <xdr:sp macro="" textlink="pivots!C9">
      <xdr:nvSpPr>
        <xdr:cNvPr id="13" name="TextBox 12">
          <a:extLst>
            <a:ext uri="{FF2B5EF4-FFF2-40B4-BE49-F238E27FC236}">
              <a16:creationId xmlns:a16="http://schemas.microsoft.com/office/drawing/2014/main" id="{71A8AD3C-8CF9-48AA-9BB8-6D5D2F91A4C7}"/>
            </a:ext>
          </a:extLst>
        </xdr:cNvPr>
        <xdr:cNvSpPr txBox="1"/>
      </xdr:nvSpPr>
      <xdr:spPr>
        <a:xfrm>
          <a:off x="586740" y="3718560"/>
          <a:ext cx="8915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227C41-2F4A-4B56-A9A9-185641424C3F}" type="TxLink">
            <a:rPr lang="en-US" sz="1100" b="0" i="0" u="none" strike="noStrike">
              <a:solidFill>
                <a:schemeClr val="bg1"/>
              </a:solidFill>
              <a:latin typeface="Aptos Display"/>
              <a:ea typeface="+mn-ea"/>
              <a:cs typeface="+mn-cs"/>
            </a:rPr>
            <a:pPr marL="0" indent="0" algn="ctr"/>
            <a:t>16,834</a:t>
          </a:fld>
          <a:endParaRPr lang="en-IN" sz="1100" b="0" i="0" u="none" strike="noStrike">
            <a:solidFill>
              <a:schemeClr val="bg1"/>
            </a:solidFill>
            <a:latin typeface="Aptos Display"/>
            <a:ea typeface="+mn-ea"/>
            <a:cs typeface="+mn-cs"/>
          </a:endParaRPr>
        </a:p>
      </xdr:txBody>
    </xdr:sp>
    <xdr:clientData/>
  </xdr:twoCellAnchor>
  <xdr:twoCellAnchor>
    <xdr:from>
      <xdr:col>2</xdr:col>
      <xdr:colOff>0</xdr:colOff>
      <xdr:row>24</xdr:row>
      <xdr:rowOff>0</xdr:rowOff>
    </xdr:from>
    <xdr:to>
      <xdr:col>3</xdr:col>
      <xdr:colOff>563880</xdr:colOff>
      <xdr:row>28</xdr:row>
      <xdr:rowOff>121920</xdr:rowOff>
    </xdr:to>
    <xdr:sp macro="" textlink="pivots!D4">
      <xdr:nvSpPr>
        <xdr:cNvPr id="14" name="Rectangle 13">
          <a:extLst>
            <a:ext uri="{FF2B5EF4-FFF2-40B4-BE49-F238E27FC236}">
              <a16:creationId xmlns:a16="http://schemas.microsoft.com/office/drawing/2014/main" id="{E096E2D5-0E8C-4F28-8DD5-3799D2E9AC2C}"/>
            </a:ext>
          </a:extLst>
        </xdr:cNvPr>
        <xdr:cNvSpPr/>
      </xdr:nvSpPr>
      <xdr:spPr>
        <a:xfrm>
          <a:off x="441960" y="4389120"/>
          <a:ext cx="1173480" cy="853440"/>
        </a:xfrm>
        <a:prstGeom prst="rect">
          <a:avLst/>
        </a:prstGeom>
        <a:solidFill>
          <a:srgbClr val="F264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9A130F4-1484-4818-A1AC-CE5601B3EC69}"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2</xdr:col>
      <xdr:colOff>152400</xdr:colOff>
      <xdr:row>24</xdr:row>
      <xdr:rowOff>22860</xdr:rowOff>
    </xdr:from>
    <xdr:to>
      <xdr:col>3</xdr:col>
      <xdr:colOff>449580</xdr:colOff>
      <xdr:row>25</xdr:row>
      <xdr:rowOff>53340</xdr:rowOff>
    </xdr:to>
    <xdr:sp macro="" textlink="">
      <xdr:nvSpPr>
        <xdr:cNvPr id="15" name="TextBox 14">
          <a:extLst>
            <a:ext uri="{FF2B5EF4-FFF2-40B4-BE49-F238E27FC236}">
              <a16:creationId xmlns:a16="http://schemas.microsoft.com/office/drawing/2014/main" id="{60E1FFBC-5EB9-4667-80FB-B6F83D1059F6}"/>
            </a:ext>
          </a:extLst>
        </xdr:cNvPr>
        <xdr:cNvSpPr txBox="1"/>
      </xdr:nvSpPr>
      <xdr:spPr>
        <a:xfrm>
          <a:off x="594360" y="4411980"/>
          <a:ext cx="906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solidFill>
              <a:latin typeface="+mj-lt"/>
            </a:rPr>
            <a:t>Avg.</a:t>
          </a:r>
          <a:r>
            <a:rPr lang="en-IN" sz="1050" baseline="0">
              <a:solidFill>
                <a:schemeClr val="bg1"/>
              </a:solidFill>
              <a:latin typeface="+mj-lt"/>
            </a:rPr>
            <a:t> Rating</a:t>
          </a:r>
          <a:endParaRPr lang="en-IN" sz="1050">
            <a:solidFill>
              <a:schemeClr val="bg1"/>
            </a:solidFill>
            <a:latin typeface="+mj-lt"/>
          </a:endParaRPr>
        </a:p>
      </xdr:txBody>
    </xdr:sp>
    <xdr:clientData/>
  </xdr:twoCellAnchor>
  <xdr:twoCellAnchor editAs="oneCell">
    <xdr:from>
      <xdr:col>2</xdr:col>
      <xdr:colOff>54419</xdr:colOff>
      <xdr:row>24</xdr:row>
      <xdr:rowOff>56358</xdr:rowOff>
    </xdr:from>
    <xdr:to>
      <xdr:col>2</xdr:col>
      <xdr:colOff>219258</xdr:colOff>
      <xdr:row>25</xdr:row>
      <xdr:rowOff>40222</xdr:rowOff>
    </xdr:to>
    <xdr:pic>
      <xdr:nvPicPr>
        <xdr:cNvPr id="16" name="Graphic 15">
          <a:extLst>
            <a:ext uri="{FF2B5EF4-FFF2-40B4-BE49-F238E27FC236}">
              <a16:creationId xmlns:a16="http://schemas.microsoft.com/office/drawing/2014/main" id="{DD48C416-42F9-4E4A-99D5-E74619FAD58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92569" y="4399758"/>
          <a:ext cx="164839" cy="164839"/>
        </a:xfrm>
        <a:prstGeom prst="rect">
          <a:avLst/>
        </a:prstGeom>
      </xdr:spPr>
    </xdr:pic>
    <xdr:clientData/>
  </xdr:twoCellAnchor>
  <xdr:twoCellAnchor>
    <xdr:from>
      <xdr:col>2</xdr:col>
      <xdr:colOff>144780</xdr:colOff>
      <xdr:row>27</xdr:row>
      <xdr:rowOff>60960</xdr:rowOff>
    </xdr:from>
    <xdr:to>
      <xdr:col>3</xdr:col>
      <xdr:colOff>426720</xdr:colOff>
      <xdr:row>28</xdr:row>
      <xdr:rowOff>99060</xdr:rowOff>
    </xdr:to>
    <xdr:sp macro="" textlink="pivots!D9">
      <xdr:nvSpPr>
        <xdr:cNvPr id="17" name="TextBox 16">
          <a:extLst>
            <a:ext uri="{FF2B5EF4-FFF2-40B4-BE49-F238E27FC236}">
              <a16:creationId xmlns:a16="http://schemas.microsoft.com/office/drawing/2014/main" id="{EC449FCC-1462-43A1-895C-F35797240148}"/>
            </a:ext>
          </a:extLst>
        </xdr:cNvPr>
        <xdr:cNvSpPr txBox="1"/>
      </xdr:nvSpPr>
      <xdr:spPr>
        <a:xfrm>
          <a:off x="586740" y="4998720"/>
          <a:ext cx="8915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41956B-4192-4A30-B559-CD835494818E}" type="TxLink">
            <a:rPr lang="en-US" sz="1100" b="0" i="0" u="none" strike="noStrike">
              <a:solidFill>
                <a:schemeClr val="bg1"/>
              </a:solidFill>
              <a:latin typeface="Aptos Display"/>
              <a:ea typeface="+mn-ea"/>
              <a:cs typeface="+mn-cs"/>
            </a:rPr>
            <a:pPr marL="0" indent="0" algn="ctr"/>
            <a:t>3.9</a:t>
          </a:fld>
          <a:endParaRPr lang="en-IN" sz="1100" b="0" i="0" u="none" strike="noStrike">
            <a:solidFill>
              <a:schemeClr val="bg1"/>
            </a:solidFill>
            <a:latin typeface="Aptos Display"/>
            <a:ea typeface="+mn-ea"/>
            <a:cs typeface="+mn-cs"/>
          </a:endParaRPr>
        </a:p>
      </xdr:txBody>
    </xdr:sp>
    <xdr:clientData/>
  </xdr:twoCellAnchor>
  <xdr:twoCellAnchor>
    <xdr:from>
      <xdr:col>2</xdr:col>
      <xdr:colOff>0</xdr:colOff>
      <xdr:row>31</xdr:row>
      <xdr:rowOff>0</xdr:rowOff>
    </xdr:from>
    <xdr:to>
      <xdr:col>3</xdr:col>
      <xdr:colOff>563880</xdr:colOff>
      <xdr:row>35</xdr:row>
      <xdr:rowOff>121920</xdr:rowOff>
    </xdr:to>
    <xdr:sp macro="" textlink="pivots!E4">
      <xdr:nvSpPr>
        <xdr:cNvPr id="18" name="Rectangle 17">
          <a:extLst>
            <a:ext uri="{FF2B5EF4-FFF2-40B4-BE49-F238E27FC236}">
              <a16:creationId xmlns:a16="http://schemas.microsoft.com/office/drawing/2014/main" id="{5BDE339D-468F-44D9-A67A-78958EB4EDC8}"/>
            </a:ext>
          </a:extLst>
        </xdr:cNvPr>
        <xdr:cNvSpPr/>
      </xdr:nvSpPr>
      <xdr:spPr>
        <a:xfrm>
          <a:off x="441960" y="5669280"/>
          <a:ext cx="1173480" cy="853440"/>
        </a:xfrm>
        <a:prstGeom prst="rect">
          <a:avLst/>
        </a:prstGeom>
        <a:solidFill>
          <a:srgbClr val="F26419"/>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21FA6F2-4BBE-4BD2-96B1-CDD4A2272945}"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2</xdr:col>
      <xdr:colOff>109538</xdr:colOff>
      <xdr:row>31</xdr:row>
      <xdr:rowOff>22860</xdr:rowOff>
    </xdr:from>
    <xdr:to>
      <xdr:col>3</xdr:col>
      <xdr:colOff>548640</xdr:colOff>
      <xdr:row>32</xdr:row>
      <xdr:rowOff>83820</xdr:rowOff>
    </xdr:to>
    <xdr:sp macro="" textlink="">
      <xdr:nvSpPr>
        <xdr:cNvPr id="19" name="TextBox 18">
          <a:extLst>
            <a:ext uri="{FF2B5EF4-FFF2-40B4-BE49-F238E27FC236}">
              <a16:creationId xmlns:a16="http://schemas.microsoft.com/office/drawing/2014/main" id="{5C01CAA2-0EFD-407F-A2AE-0F8601FFF1FF}"/>
            </a:ext>
          </a:extLst>
        </xdr:cNvPr>
        <xdr:cNvSpPr txBox="1"/>
      </xdr:nvSpPr>
      <xdr:spPr>
        <a:xfrm>
          <a:off x="547688" y="5633085"/>
          <a:ext cx="1048702"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bg1"/>
              </a:solidFill>
              <a:latin typeface="+mj-lt"/>
            </a:rPr>
            <a:t>Happy callers</a:t>
          </a:r>
        </a:p>
      </xdr:txBody>
    </xdr:sp>
    <xdr:clientData/>
  </xdr:twoCellAnchor>
  <xdr:twoCellAnchor editAs="oneCell">
    <xdr:from>
      <xdr:col>2</xdr:col>
      <xdr:colOff>6792</xdr:colOff>
      <xdr:row>31</xdr:row>
      <xdr:rowOff>61121</xdr:rowOff>
    </xdr:from>
    <xdr:to>
      <xdr:col>2</xdr:col>
      <xdr:colOff>171631</xdr:colOff>
      <xdr:row>32</xdr:row>
      <xdr:rowOff>44985</xdr:rowOff>
    </xdr:to>
    <xdr:pic>
      <xdr:nvPicPr>
        <xdr:cNvPr id="20" name="Graphic 19">
          <a:extLst>
            <a:ext uri="{FF2B5EF4-FFF2-40B4-BE49-F238E27FC236}">
              <a16:creationId xmlns:a16="http://schemas.microsoft.com/office/drawing/2014/main" id="{496318C2-B26A-48FB-9236-BA2BA8FB611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44942" y="5671346"/>
          <a:ext cx="164839" cy="164839"/>
        </a:xfrm>
        <a:prstGeom prst="rect">
          <a:avLst/>
        </a:prstGeom>
      </xdr:spPr>
    </xdr:pic>
    <xdr:clientData/>
  </xdr:twoCellAnchor>
  <xdr:twoCellAnchor>
    <xdr:from>
      <xdr:col>2</xdr:col>
      <xdr:colOff>144780</xdr:colOff>
      <xdr:row>34</xdr:row>
      <xdr:rowOff>60960</xdr:rowOff>
    </xdr:from>
    <xdr:to>
      <xdr:col>3</xdr:col>
      <xdr:colOff>426720</xdr:colOff>
      <xdr:row>35</xdr:row>
      <xdr:rowOff>99060</xdr:rowOff>
    </xdr:to>
    <xdr:sp macro="" textlink="pivots!E9">
      <xdr:nvSpPr>
        <xdr:cNvPr id="21" name="TextBox 20">
          <a:extLst>
            <a:ext uri="{FF2B5EF4-FFF2-40B4-BE49-F238E27FC236}">
              <a16:creationId xmlns:a16="http://schemas.microsoft.com/office/drawing/2014/main" id="{C4F27CD1-4254-4AD8-99A2-692276CAB5C5}"/>
            </a:ext>
          </a:extLst>
        </xdr:cNvPr>
        <xdr:cNvSpPr txBox="1"/>
      </xdr:nvSpPr>
      <xdr:spPr>
        <a:xfrm>
          <a:off x="586740" y="6278880"/>
          <a:ext cx="8915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FC6087-CCEC-43E2-AF65-5CDB2FE693E3}" type="TxLink">
            <a:rPr lang="en-US" sz="1100" b="0" i="0" u="none" strike="noStrike">
              <a:solidFill>
                <a:schemeClr val="bg1"/>
              </a:solidFill>
              <a:latin typeface="Aptos Display"/>
              <a:ea typeface="+mn-ea"/>
              <a:cs typeface="+mn-cs"/>
            </a:rPr>
            <a:pPr marL="0" indent="0" algn="ctr"/>
            <a:t>60</a:t>
          </a:fld>
          <a:endParaRPr lang="en-IN" sz="1100" b="0" i="0" u="none" strike="noStrike">
            <a:solidFill>
              <a:schemeClr val="bg1"/>
            </a:solidFill>
            <a:latin typeface="Aptos Display"/>
            <a:ea typeface="+mn-ea"/>
            <a:cs typeface="+mn-cs"/>
          </a:endParaRPr>
        </a:p>
      </xdr:txBody>
    </xdr:sp>
    <xdr:clientData/>
  </xdr:twoCellAnchor>
  <xdr:twoCellAnchor editAs="oneCell">
    <xdr:from>
      <xdr:col>2</xdr:col>
      <xdr:colOff>50444</xdr:colOff>
      <xdr:row>17</xdr:row>
      <xdr:rowOff>58264</xdr:rowOff>
    </xdr:from>
    <xdr:to>
      <xdr:col>2</xdr:col>
      <xdr:colOff>238128</xdr:colOff>
      <xdr:row>18</xdr:row>
      <xdr:rowOff>61093</xdr:rowOff>
    </xdr:to>
    <xdr:pic>
      <xdr:nvPicPr>
        <xdr:cNvPr id="22" name="Graphic 21" descr="Hourglass Finished with solid fill">
          <a:extLst>
            <a:ext uri="{FF2B5EF4-FFF2-40B4-BE49-F238E27FC236}">
              <a16:creationId xmlns:a16="http://schemas.microsoft.com/office/drawing/2014/main" id="{4FBE33AE-B5B9-4257-AE45-AC61C923E96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8594" y="3134839"/>
          <a:ext cx="187684" cy="183804"/>
        </a:xfrm>
        <a:prstGeom prst="rect">
          <a:avLst/>
        </a:prstGeom>
      </xdr:spPr>
    </xdr:pic>
    <xdr:clientData/>
  </xdr:twoCellAnchor>
  <xdr:twoCellAnchor>
    <xdr:from>
      <xdr:col>5</xdr:col>
      <xdr:colOff>0</xdr:colOff>
      <xdr:row>2</xdr:row>
      <xdr:rowOff>184219</xdr:rowOff>
    </xdr:from>
    <xdr:to>
      <xdr:col>11</xdr:col>
      <xdr:colOff>365760</xdr:colOff>
      <xdr:row>16</xdr:row>
      <xdr:rowOff>92109</xdr:rowOff>
    </xdr:to>
    <xdr:graphicFrame macro="">
      <xdr:nvGraphicFramePr>
        <xdr:cNvPr id="24" name="Chart 23">
          <a:extLst>
            <a:ext uri="{FF2B5EF4-FFF2-40B4-BE49-F238E27FC236}">
              <a16:creationId xmlns:a16="http://schemas.microsoft.com/office/drawing/2014/main" id="{36A5AB59-F49C-40B7-BD36-810D1C705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320040</xdr:colOff>
      <xdr:row>17</xdr:row>
      <xdr:rowOff>15240</xdr:rowOff>
    </xdr:from>
    <xdr:to>
      <xdr:col>9</xdr:col>
      <xdr:colOff>175260</xdr:colOff>
      <xdr:row>35</xdr:row>
      <xdr:rowOff>83820</xdr:rowOff>
    </xdr:to>
    <xdr:graphicFrame macro="">
      <xdr:nvGraphicFramePr>
        <xdr:cNvPr id="26" name="Chart 25">
          <a:extLst>
            <a:ext uri="{FF2B5EF4-FFF2-40B4-BE49-F238E27FC236}">
              <a16:creationId xmlns:a16="http://schemas.microsoft.com/office/drawing/2014/main" id="{37A2FC21-5FAC-4204-9738-E333E2270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7620</xdr:colOff>
      <xdr:row>17</xdr:row>
      <xdr:rowOff>15240</xdr:rowOff>
    </xdr:from>
    <xdr:to>
      <xdr:col>11</xdr:col>
      <xdr:colOff>544333</xdr:colOff>
      <xdr:row>35</xdr:row>
      <xdr:rowOff>83820</xdr:rowOff>
    </xdr:to>
    <xdr:graphicFrame macro="">
      <xdr:nvGraphicFramePr>
        <xdr:cNvPr id="27" name="Chart 26">
          <a:extLst>
            <a:ext uri="{FF2B5EF4-FFF2-40B4-BE49-F238E27FC236}">
              <a16:creationId xmlns:a16="http://schemas.microsoft.com/office/drawing/2014/main" id="{4259E951-66F5-4D6A-800B-ACA6EC007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477298</xdr:colOff>
      <xdr:row>3</xdr:row>
      <xdr:rowOff>0</xdr:rowOff>
    </xdr:from>
    <xdr:to>
      <xdr:col>18</xdr:col>
      <xdr:colOff>121921</xdr:colOff>
      <xdr:row>16</xdr:row>
      <xdr:rowOff>75363</xdr:rowOff>
    </xdr:to>
    <xdr:graphicFrame macro="">
      <xdr:nvGraphicFramePr>
        <xdr:cNvPr id="29" name="Chart 28">
          <a:extLst>
            <a:ext uri="{FF2B5EF4-FFF2-40B4-BE49-F238E27FC236}">
              <a16:creationId xmlns:a16="http://schemas.microsoft.com/office/drawing/2014/main" id="{4BB79EF0-45F9-4D44-82D8-55982F549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228600</xdr:colOff>
      <xdr:row>2</xdr:row>
      <xdr:rowOff>182712</xdr:rowOff>
    </xdr:from>
    <xdr:to>
      <xdr:col>22</xdr:col>
      <xdr:colOff>10886</xdr:colOff>
      <xdr:row>16</xdr:row>
      <xdr:rowOff>66989</xdr:rowOff>
    </xdr:to>
    <xdr:graphicFrame macro="">
      <xdr:nvGraphicFramePr>
        <xdr:cNvPr id="30" name="Chart 29">
          <a:extLst>
            <a:ext uri="{FF2B5EF4-FFF2-40B4-BE49-F238E27FC236}">
              <a16:creationId xmlns:a16="http://schemas.microsoft.com/office/drawing/2014/main" id="{3BDB6C7A-2A93-484A-B860-0C13C7EF6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350520</xdr:colOff>
      <xdr:row>3</xdr:row>
      <xdr:rowOff>16748</xdr:rowOff>
    </xdr:from>
    <xdr:to>
      <xdr:col>14</xdr:col>
      <xdr:colOff>373380</xdr:colOff>
      <xdr:row>16</xdr:row>
      <xdr:rowOff>92111</xdr:rowOff>
    </xdr:to>
    <xdr:graphicFrame macro="">
      <xdr:nvGraphicFramePr>
        <xdr:cNvPr id="25" name="Chart 24">
          <a:extLst>
            <a:ext uri="{FF2B5EF4-FFF2-40B4-BE49-F238E27FC236}">
              <a16:creationId xmlns:a16="http://schemas.microsoft.com/office/drawing/2014/main" id="{7C24D250-3B70-4DFD-B234-1E654FB80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684250694445" backgroundQuery="1" createdVersion="8" refreshedVersion="8" minRefreshableVersion="3" recordCount="0" supportSubquery="1" supportAdvancedDrill="1" xr:uid="{0DB7A7FA-9FF1-4AE9-B37E-57E0F44B5E6B}">
  <cacheSource type="external" connectionId="1"/>
  <cacheFields count="5">
    <cacheField name="[Measures].[Total Amount]" caption="Total Amount" numFmtId="0" hierarchy="18" level="32767"/>
    <cacheField name="[Measures].[Avg. Rating]" caption="Avg. Rating" numFmtId="0" hierarchy="20" level="32767"/>
    <cacheField name="[Measures].[Total Duration]" caption="Total Duration" numFmtId="0" hierarchy="19" level="32767"/>
    <cacheField name="[Measures].[Call Count]" caption="Call Count" numFmtId="0" hierarchy="17"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1"/>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684252083331" backgroundQuery="1" createdVersion="8" refreshedVersion="8" minRefreshableVersion="3" recordCount="0" supportSubquery="1" supportAdvancedDrill="1" xr:uid="{CEA25B49-BB2C-48C5-8586-0BA33923E2FF}">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684253240739" backgroundQuery="1" createdVersion="8" refreshedVersion="8" minRefreshableVersion="3" recordCount="0" supportSubquery="1" supportAdvancedDrill="1" xr:uid="{EF23FBC3-C419-459D-998C-A734B985A938}">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684987152781" backgroundQuery="1" createdVersion="8" refreshedVersion="8" minRefreshableVersion="3" recordCount="0" supportSubquery="1" supportAdvancedDrill="1" xr:uid="{6B98CBAA-1FEA-409B-B847-8B6EAD47BEA6}">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758101851854" backgroundQuery="1" createdVersion="8" refreshedVersion="8" minRefreshableVersion="3" recordCount="0" supportSubquery="1" supportAdvancedDrill="1" xr:uid="{C551E0B2-37B4-4EF0-B5EB-D74096C50FDB}">
  <cacheSource type="external" connectionId="1"/>
  <cacheFields count="6">
    <cacheField name="[Measures].[Total Amount]" caption="Total Amount" numFmtId="0" hierarchy="18" level="32767"/>
    <cacheField name="[Measures].[Avg. Rating]" caption="Avg. Rating" numFmtId="0" hierarchy="20" level="32767"/>
    <cacheField name="[Measures].[Total Duration]" caption="Total Duration" numFmtId="0" hierarchy="19" level="32767"/>
    <cacheField name="[Measures].[Call Count]" caption="Call Count" numFmtId="0" hierarchy="17"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1"/>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758102430555" backgroundQuery="1" createdVersion="8" refreshedVersion="8" minRefreshableVersion="3" recordCount="0" supportSubquery="1" supportAdvancedDrill="1" xr:uid="{01D989A0-5616-45C7-88FC-82ED0650EB3D}">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758103009262" backgroundQuery="1" createdVersion="8" refreshedVersion="8" minRefreshableVersion="3" recordCount="0" supportSubquery="1" supportAdvancedDrill="1" xr:uid="{0FC1764D-07CD-4ED9-AA76-B3E37456FC53}">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758103356478" backgroundQuery="1" createdVersion="8" refreshedVersion="8" minRefreshableVersion="3" recordCount="0" supportSubquery="1" supportAdvancedDrill="1" xr:uid="{03C3EF61-2E67-4E6E-A2C1-80817359AC63}">
  <cacheSource type="external" connectionId="1"/>
  <cacheFields count="1">
    <cacheField name="[calls].[Representative].[Representative]" caption="Representative" numFmtId="0" hierarchy="3" level="1">
      <sharedItems count="1">
        <s v="R01"/>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758103703702" backgroundQuery="1" createdVersion="8" refreshedVersion="8" minRefreshableVersion="3" recordCount="0" supportSubquery="1" supportAdvancedDrill="1" xr:uid="{4D47C55C-5DA8-4203-AA58-C86D05AD33C1}">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em kumar Gara" refreshedDate="46134.684241898147" backgroundQuery="1" createdVersion="3" refreshedVersion="8" minRefreshableVersion="3" recordCount="0" supportSubquery="1" supportAdvancedDrill="1" xr:uid="{F2A344A4-7B96-4194-BD18-A98C17318B9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8924933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192694-5864-48C2-8FFD-BC24A4284C3F}" name="selected rep"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3:A5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2">
      <pivotArea dataOnly="0" labelOnly="1" fieldPosition="0">
        <references count="1">
          <reference field="0" count="0"/>
        </references>
      </pivotArea>
    </format>
    <format dxfId="1">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243228-017E-4D99-80D6-0A834AAC6A12}"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462EE-8C95-4780-95FC-5B400CEF4762}" name="weekday trend"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G20:H28"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DAB095-3D09-47A8-BA91-D7739442D26F}" name="PivotTable9"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88:G10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CA616-CEF0-4D8E-89D9-C67774A363D2}" name="rep satisfac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3:B7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E62799-3C9D-4189-90A6-0BACC7C53AEC}" name="monthly tren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0:C3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9E1EC7-904B-4CDB-8B88-A215BE21D2E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0:D65"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326C1E-EFA7-4B9D-AD45-3B0449D89A0F}" name="rep 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3" subtotal="count" baseField="0" baseItem="0"/>
    <dataField fld="0" subtotal="count" baseField="0" baseItem="0" numFmtId="168"/>
    <dataField fld="2" subtotal="count" baseField="0" baseItem="0"/>
    <dataField fld="1" subtotal="count" baseField="0" baseItem="0"/>
    <dataField fld="4" subtotal="count" baseField="0" baseItem="0"/>
  </dataFields>
  <formats count="1">
    <format dxfId="3">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28E98A-696F-428F-ABF2-178E004C34E8}"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3" subtotal="count" baseField="0" baseItem="0"/>
    <dataField fld="0" subtotal="count" baseField="0" baseItem="0" numFmtId="168"/>
    <dataField fld="2" subtotal="count" baseField="0" baseItem="0"/>
    <dataField fld="1" subtotal="count" baseField="0" baseItem="0"/>
    <dataField fld="4" subtotal="count" baseField="0" baseItem="0"/>
  </dataFields>
  <formats count="1">
    <format dxfId="4">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0</v>
    <v>4</v>
    <v>A person in a skirt and a cardigan
Description automatically generated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E0A72A9-9D11-4234-BF23-6962E497A021}" sourceName="[calls].[Representative]">
  <pivotTables>
    <pivotTable tabId="6" name="rep pivot"/>
    <pivotTable tabId="6" name="monthly trend"/>
    <pivotTable tabId="6" name="weekday trend"/>
    <pivotTable tabId="6" name="selected rep"/>
    <pivotTable tabId="6" name="rep satisfaction"/>
  </pivotTables>
  <data>
    <olap pivotCacheId="189249333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C429C0D-2A38-4DEB-99A6-FCF60A09E147}" cache="Slicer_Representative" caption="Representative" showCaption="0" level="1" style="SlicerStyleDark5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
    <tableColumn id="5" xr3:uid="{5A35565E-8707-4DED-AD15-A0669D67B382}" name="Date of Call" dataDxfId="17"/>
    <tableColumn id="6" xr3:uid="{F2E4F158-B41F-47BC-8DF8-DFCADFEE4E40}" name="Purchase Amount"/>
    <tableColumn id="7" xr3:uid="{04B291B5-47BD-4F78-8FD8-D1551CCA6BD9}" name="Satisfaction Rating"/>
    <tableColumn id="8" xr3:uid="{6E4123C0-0B17-43B8-A142-A1E540CE974C}" name="FY" dataDxfId="16">
      <calculatedColumnFormula>IF(MONTH(calls[[#This Row],[Date of Call]])&lt;=6, YEAR(calls[[#This Row],[Date of Call]]), YEAR(calls[[#This Row],[Date of Call]])+1)</calculatedColumnFormula>
    </tableColumn>
    <tableColumn id="9" xr3:uid="{199FA271-5E9B-46CE-9BC6-2801F92CD17E}" name="Day of week" dataDxfId="15">
      <calculatedColumnFormula>TEXT(calls[[#This Row],[Date of Call]],"DDDD")</calculatedColumnFormula>
    </tableColumn>
    <tableColumn id="10" xr3:uid="{328CDB09-95B8-4D5E-9ED9-EF0D363735A1}"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3">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2" headerRowBorderDxfId="11" tableBorderDxfId="10" totalsRowBorderDxfId="9">
  <autoFilter ref="Q3:T18" xr:uid="{27158F51-A707-4171-8A04-81FB0AABCBA5}"/>
  <tableColumns count="4">
    <tableColumn id="1" xr3:uid="{02688061-6A8C-4E23-B7FF-D00CD8B58CAC}" name="Customer ID" dataDxfId="8"/>
    <tableColumn id="2" xr3:uid="{771678B6-DB44-426B-9874-B4E421A440D5}" name="Gedner" dataDxfId="7"/>
    <tableColumn id="3" xr3:uid="{B0D41C62-587E-494D-B49A-603F2C05F8D3}" name="Age" dataDxfId="6"/>
    <tableColumn id="4" xr3:uid="{663F92D6-FE31-4D81-9E01-8D066DDC8A88}" name="City" dataDxfId="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Display"/>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 zoomScale="85" zoomScaleNormal="85" workbookViewId="0">
      <selection activeCell="G1" sqref="G1"/>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D4" sqref="D4"/>
    </sheetView>
  </sheetViews>
  <sheetFormatPr defaultRowHeight="14.4" x14ac:dyDescent="0.3"/>
  <cols>
    <col min="5" max="5" width="11" customWidth="1"/>
    <col min="6" max="6" width="10"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2D13-985C-4A2E-9D98-FA6408C2C476}">
  <dimension ref="A3:J107"/>
  <sheetViews>
    <sheetView workbookViewId="0">
      <selection activeCell="L98" sqref="L98"/>
    </sheetView>
  </sheetViews>
  <sheetFormatPr defaultRowHeight="14.4" x14ac:dyDescent="0.3"/>
  <cols>
    <col min="1" max="1" width="13" bestFit="1" customWidth="1"/>
    <col min="2" max="2" width="10.109375" bestFit="1" customWidth="1"/>
    <col min="3" max="3" width="11.21875" bestFit="1" customWidth="1"/>
    <col min="4" max="4" width="10.33203125" bestFit="1" customWidth="1"/>
    <col min="5" max="5" width="7.44140625" bestFit="1" customWidth="1"/>
    <col min="6" max="6" width="12.77734375" bestFit="1" customWidth="1"/>
    <col min="7" max="7" width="13" bestFit="1" customWidth="1"/>
    <col min="8" max="8" width="10.109375" bestFit="1" customWidth="1"/>
    <col min="9" max="9" width="11.21875" bestFit="1" customWidth="1"/>
  </cols>
  <sheetData>
    <row r="3" spans="1:5" x14ac:dyDescent="0.3">
      <c r="A3" t="s">
        <v>1042</v>
      </c>
      <c r="B3" t="s">
        <v>1043</v>
      </c>
      <c r="C3" t="s">
        <v>1045</v>
      </c>
      <c r="D3" t="s">
        <v>1044</v>
      </c>
      <c r="E3" t="s">
        <v>1046</v>
      </c>
    </row>
    <row r="4" spans="1:5" x14ac:dyDescent="0.3">
      <c r="A4" s="21">
        <v>1000</v>
      </c>
      <c r="B4" s="28">
        <v>96623</v>
      </c>
      <c r="C4" s="21">
        <v>89850</v>
      </c>
      <c r="D4" s="23">
        <v>3.8854000000000033</v>
      </c>
      <c r="E4" s="21">
        <v>307</v>
      </c>
    </row>
    <row r="8" spans="1:5" x14ac:dyDescent="0.3">
      <c r="A8" t="s">
        <v>1042</v>
      </c>
      <c r="B8" t="s">
        <v>1043</v>
      </c>
      <c r="C8" t="s">
        <v>1045</v>
      </c>
      <c r="D8" t="s">
        <v>1044</v>
      </c>
      <c r="E8" t="s">
        <v>1046</v>
      </c>
    </row>
    <row r="9" spans="1:5" x14ac:dyDescent="0.3">
      <c r="A9" s="21">
        <v>189</v>
      </c>
      <c r="B9" s="28">
        <v>18415</v>
      </c>
      <c r="C9" s="21">
        <v>16834</v>
      </c>
      <c r="D9" s="23">
        <v>3.9227513227513247</v>
      </c>
      <c r="E9" s="21">
        <v>60</v>
      </c>
    </row>
    <row r="20" spans="1:8" x14ac:dyDescent="0.3">
      <c r="A20" s="24" t="s">
        <v>1047</v>
      </c>
      <c r="B20" t="s">
        <v>1042</v>
      </c>
      <c r="C20" t="s">
        <v>1061</v>
      </c>
      <c r="G20" s="24" t="s">
        <v>1047</v>
      </c>
      <c r="H20" t="s">
        <v>1042</v>
      </c>
    </row>
    <row r="21" spans="1:8" x14ac:dyDescent="0.3">
      <c r="A21" s="25" t="s">
        <v>1049</v>
      </c>
      <c r="B21" s="21">
        <v>16</v>
      </c>
      <c r="C21" s="21">
        <v>16</v>
      </c>
      <c r="G21" s="25" t="s">
        <v>1065</v>
      </c>
      <c r="H21" s="21">
        <v>36</v>
      </c>
    </row>
    <row r="22" spans="1:8" x14ac:dyDescent="0.3">
      <c r="A22" s="25" t="s">
        <v>1050</v>
      </c>
      <c r="B22" s="21">
        <v>14</v>
      </c>
      <c r="C22" s="21">
        <v>14</v>
      </c>
      <c r="G22" s="25" t="s">
        <v>1063</v>
      </c>
      <c r="H22" s="21">
        <v>30</v>
      </c>
    </row>
    <row r="23" spans="1:8" x14ac:dyDescent="0.3">
      <c r="A23" s="25" t="s">
        <v>1051</v>
      </c>
      <c r="B23" s="21">
        <v>26</v>
      </c>
      <c r="C23" s="21">
        <v>26</v>
      </c>
      <c r="G23" s="25" t="s">
        <v>1067</v>
      </c>
      <c r="H23" s="21">
        <v>13</v>
      </c>
    </row>
    <row r="24" spans="1:8" x14ac:dyDescent="0.3">
      <c r="A24" s="25" t="s">
        <v>1052</v>
      </c>
      <c r="B24" s="21">
        <v>29</v>
      </c>
      <c r="C24" s="21">
        <v>29</v>
      </c>
      <c r="G24" s="25" t="s">
        <v>1068</v>
      </c>
      <c r="H24" s="21">
        <v>23</v>
      </c>
    </row>
    <row r="25" spans="1:8" x14ac:dyDescent="0.3">
      <c r="A25" s="25" t="s">
        <v>1053</v>
      </c>
      <c r="B25" s="21">
        <v>17</v>
      </c>
      <c r="C25" s="21">
        <v>17</v>
      </c>
      <c r="G25" s="25" t="s">
        <v>1066</v>
      </c>
      <c r="H25" s="21">
        <v>23</v>
      </c>
    </row>
    <row r="26" spans="1:8" x14ac:dyDescent="0.3">
      <c r="A26" s="25" t="s">
        <v>1054</v>
      </c>
      <c r="B26" s="21">
        <v>15</v>
      </c>
      <c r="C26" s="21">
        <v>15</v>
      </c>
      <c r="G26" s="25" t="s">
        <v>1062</v>
      </c>
      <c r="H26" s="21">
        <v>24</v>
      </c>
    </row>
    <row r="27" spans="1:8" x14ac:dyDescent="0.3">
      <c r="A27" s="25" t="s">
        <v>1055</v>
      </c>
      <c r="B27" s="21">
        <v>15</v>
      </c>
      <c r="C27" s="21">
        <v>15</v>
      </c>
      <c r="G27" s="25" t="s">
        <v>1064</v>
      </c>
      <c r="H27" s="21">
        <v>40</v>
      </c>
    </row>
    <row r="28" spans="1:8" x14ac:dyDescent="0.3">
      <c r="A28" s="25" t="s">
        <v>1056</v>
      </c>
      <c r="B28" s="21">
        <v>7</v>
      </c>
      <c r="C28" s="21">
        <v>7</v>
      </c>
      <c r="G28" s="25" t="s">
        <v>1048</v>
      </c>
      <c r="H28" s="21">
        <v>189</v>
      </c>
    </row>
    <row r="29" spans="1:8" x14ac:dyDescent="0.3">
      <c r="A29" s="25" t="s">
        <v>1057</v>
      </c>
      <c r="B29" s="21">
        <v>11</v>
      </c>
      <c r="C29" s="21">
        <v>11</v>
      </c>
    </row>
    <row r="30" spans="1:8" x14ac:dyDescent="0.3">
      <c r="A30" s="25" t="s">
        <v>1058</v>
      </c>
      <c r="B30" s="21">
        <v>24</v>
      </c>
      <c r="C30" s="21">
        <v>24</v>
      </c>
    </row>
    <row r="31" spans="1:8" x14ac:dyDescent="0.3">
      <c r="A31" s="25" t="s">
        <v>1059</v>
      </c>
      <c r="B31" s="21">
        <v>9</v>
      </c>
      <c r="C31" s="21">
        <v>9</v>
      </c>
    </row>
    <row r="32" spans="1:8" x14ac:dyDescent="0.3">
      <c r="A32" s="25" t="s">
        <v>1060</v>
      </c>
      <c r="B32" s="21">
        <v>6</v>
      </c>
      <c r="C32" s="21">
        <v>6</v>
      </c>
    </row>
    <row r="33" spans="1:10" x14ac:dyDescent="0.3">
      <c r="A33" s="25" t="s">
        <v>1048</v>
      </c>
      <c r="B33" s="21">
        <v>189</v>
      </c>
      <c r="C33" s="21">
        <v>189</v>
      </c>
    </row>
    <row r="39" spans="1:10" x14ac:dyDescent="0.3">
      <c r="F39" t="s">
        <v>1069</v>
      </c>
      <c r="I39" t="s">
        <v>1075</v>
      </c>
      <c r="J39" t="str">
        <f>A54</f>
        <v>R01</v>
      </c>
    </row>
    <row r="41" spans="1:10" x14ac:dyDescent="0.3">
      <c r="A41" s="24" t="s">
        <v>1047</v>
      </c>
      <c r="B41" t="s">
        <v>1042</v>
      </c>
      <c r="C41" t="s">
        <v>1043</v>
      </c>
      <c r="F41" t="s">
        <v>1070</v>
      </c>
      <c r="G41" t="s">
        <v>1071</v>
      </c>
      <c r="H41" t="s">
        <v>1072</v>
      </c>
      <c r="I41" t="s">
        <v>1073</v>
      </c>
      <c r="J41" t="s">
        <v>1074</v>
      </c>
    </row>
    <row r="42" spans="1:10" x14ac:dyDescent="0.3">
      <c r="A42" s="25" t="s">
        <v>11</v>
      </c>
      <c r="B42" s="21">
        <v>189</v>
      </c>
      <c r="C42" s="22">
        <v>18415</v>
      </c>
      <c r="F42" t="str" cm="1">
        <f t="array" ref="F42:H46">A42:C46</f>
        <v>R01</v>
      </c>
      <c r="G42">
        <v>189</v>
      </c>
      <c r="H42" s="26">
        <v>18415</v>
      </c>
      <c r="I42">
        <f>IF(F42=$J$39,G42,NA())</f>
        <v>189</v>
      </c>
      <c r="J42">
        <f>IF(F42=$J$39,H42,NA())</f>
        <v>18415</v>
      </c>
    </row>
    <row r="43" spans="1:10" x14ac:dyDescent="0.3">
      <c r="A43" s="25" t="s">
        <v>9</v>
      </c>
      <c r="B43" s="21">
        <v>218</v>
      </c>
      <c r="C43" s="22">
        <v>20581</v>
      </c>
      <c r="F43" t="str">
        <v>R02</v>
      </c>
      <c r="G43">
        <v>218</v>
      </c>
      <c r="H43" s="26">
        <v>20581</v>
      </c>
      <c r="I43" t="e">
        <f t="shared" ref="I43:I46" si="0">IF(F43=$J$39,G43,NA())</f>
        <v>#N/A</v>
      </c>
      <c r="J43" t="e">
        <f t="shared" ref="J43:J46" si="1">IF(F43=$J$39,H43,NA())</f>
        <v>#N/A</v>
      </c>
    </row>
    <row r="44" spans="1:10" x14ac:dyDescent="0.3">
      <c r="A44" s="25" t="s">
        <v>6</v>
      </c>
      <c r="B44" s="21">
        <v>207</v>
      </c>
      <c r="C44" s="22">
        <v>20872</v>
      </c>
      <c r="F44" t="str">
        <v>R03</v>
      </c>
      <c r="G44">
        <v>207</v>
      </c>
      <c r="H44" s="26">
        <v>20872</v>
      </c>
      <c r="I44" t="e">
        <f t="shared" si="0"/>
        <v>#N/A</v>
      </c>
      <c r="J44" t="e">
        <f t="shared" si="1"/>
        <v>#N/A</v>
      </c>
    </row>
    <row r="45" spans="1:10" x14ac:dyDescent="0.3">
      <c r="A45" s="25" t="s">
        <v>13</v>
      </c>
      <c r="B45" s="21">
        <v>186</v>
      </c>
      <c r="C45" s="22">
        <v>16651</v>
      </c>
      <c r="F45" t="str">
        <v>R04</v>
      </c>
      <c r="G45">
        <v>186</v>
      </c>
      <c r="H45" s="26">
        <v>16651</v>
      </c>
      <c r="I45" t="e">
        <f t="shared" si="0"/>
        <v>#N/A</v>
      </c>
      <c r="J45" t="e">
        <f t="shared" si="1"/>
        <v>#N/A</v>
      </c>
    </row>
    <row r="46" spans="1:10" x14ac:dyDescent="0.3">
      <c r="A46" s="25" t="s">
        <v>10</v>
      </c>
      <c r="B46" s="21">
        <v>200</v>
      </c>
      <c r="C46" s="22">
        <v>20104</v>
      </c>
      <c r="F46" t="str">
        <v>R05</v>
      </c>
      <c r="G46">
        <v>200</v>
      </c>
      <c r="H46" s="26">
        <v>20104</v>
      </c>
      <c r="I46" t="e">
        <f t="shared" si="0"/>
        <v>#N/A</v>
      </c>
      <c r="J46" t="e">
        <f t="shared" si="1"/>
        <v>#N/A</v>
      </c>
    </row>
    <row r="47" spans="1:10" x14ac:dyDescent="0.3">
      <c r="A47" s="25" t="s">
        <v>1048</v>
      </c>
      <c r="B47" s="21">
        <v>1000</v>
      </c>
      <c r="C47" s="22">
        <v>96623</v>
      </c>
    </row>
    <row r="51" spans="1:10" x14ac:dyDescent="0.3">
      <c r="F51" s="14" t="s">
        <v>1078</v>
      </c>
      <c r="I51" s="14" t="s">
        <v>1083</v>
      </c>
    </row>
    <row r="52" spans="1:10" x14ac:dyDescent="0.3">
      <c r="J52" t="str">
        <f>IF(COUNTA(A54:A58)&gt;1,"","% of Calls: "&amp;TEXT(G53,"0%"))</f>
        <v>% of Calls: 19%</v>
      </c>
    </row>
    <row r="53" spans="1:10" x14ac:dyDescent="0.3">
      <c r="A53" s="24" t="s">
        <v>1047</v>
      </c>
      <c r="F53" t="s">
        <v>1079</v>
      </c>
      <c r="G53" s="30">
        <f>A9/A4</f>
        <v>0.189</v>
      </c>
      <c r="J53" t="str">
        <f>IF(COUNTA(A54:A58)&gt;1,"","Call Rank: "&amp;G56)</f>
        <v>Call Rank: 4</v>
      </c>
    </row>
    <row r="54" spans="1:10" x14ac:dyDescent="0.3">
      <c r="A54" s="27" t="s">
        <v>11</v>
      </c>
      <c r="F54" t="s">
        <v>1071</v>
      </c>
      <c r="G54">
        <f>_xlfn.XLOOKUP(A54,F42:F46,G42:G46)</f>
        <v>189</v>
      </c>
      <c r="J54" t="str">
        <f>IF(COUNTA(A54:A58)&gt;1,"","Amount rank: "&amp;G57)</f>
        <v>Amount rank: 4</v>
      </c>
    </row>
    <row r="55" spans="1:10" x14ac:dyDescent="0.3">
      <c r="F55" t="s">
        <v>1082</v>
      </c>
      <c r="G55">
        <f>_xlfn.XLOOKUP(A54,F42:F46,H42:H46)</f>
        <v>18415</v>
      </c>
      <c r="I55" s="14" t="s">
        <v>1084</v>
      </c>
      <c r="J55" t="e" vm="6">
        <f>IF(COUNTA(A54:A58)&gt;1,"",_xlfn.XLOOKUP(A54,Assets!$E$3:$E$7,Assets!$F$3:$F$7))</f>
        <v>#VALUE!</v>
      </c>
    </row>
    <row r="56" spans="1:10" x14ac:dyDescent="0.3">
      <c r="F56" t="s">
        <v>1080</v>
      </c>
      <c r="G56">
        <f>_xlfn.RANK.AVG(G54,G42:G46)</f>
        <v>4</v>
      </c>
    </row>
    <row r="57" spans="1:10" x14ac:dyDescent="0.3">
      <c r="F57" t="s">
        <v>1081</v>
      </c>
      <c r="G57">
        <f>_xlfn.RANK.AVG(G55,H42:H46)</f>
        <v>4</v>
      </c>
    </row>
    <row r="60" spans="1:10" x14ac:dyDescent="0.3">
      <c r="A60" s="24" t="s">
        <v>1042</v>
      </c>
      <c r="B60" s="24" t="s">
        <v>1076</v>
      </c>
    </row>
    <row r="61" spans="1:10" x14ac:dyDescent="0.3">
      <c r="A61" s="24" t="s">
        <v>1047</v>
      </c>
      <c r="B61" t="s">
        <v>999</v>
      </c>
      <c r="C61" t="s">
        <v>998</v>
      </c>
      <c r="D61" t="s">
        <v>1048</v>
      </c>
    </row>
    <row r="62" spans="1:10" x14ac:dyDescent="0.3">
      <c r="A62" s="25" t="s">
        <v>1002</v>
      </c>
      <c r="B62" s="21">
        <v>144</v>
      </c>
      <c r="C62" s="21">
        <v>132</v>
      </c>
      <c r="D62" s="21">
        <v>276</v>
      </c>
    </row>
    <row r="63" spans="1:10" x14ac:dyDescent="0.3">
      <c r="A63" s="25" t="s">
        <v>1001</v>
      </c>
      <c r="B63" s="21">
        <v>326</v>
      </c>
      <c r="C63" s="21">
        <v>63</v>
      </c>
      <c r="D63" s="21">
        <v>389</v>
      </c>
    </row>
    <row r="64" spans="1:10" x14ac:dyDescent="0.3">
      <c r="A64" s="25" t="s">
        <v>1000</v>
      </c>
      <c r="B64" s="21">
        <v>129</v>
      </c>
      <c r="C64" s="21">
        <v>206</v>
      </c>
      <c r="D64" s="21">
        <v>335</v>
      </c>
    </row>
    <row r="65" spans="1:4" x14ac:dyDescent="0.3">
      <c r="A65" s="25" t="s">
        <v>1048</v>
      </c>
      <c r="B65" s="21">
        <v>599</v>
      </c>
      <c r="C65" s="21">
        <v>401</v>
      </c>
      <c r="D65" s="21">
        <v>1000</v>
      </c>
    </row>
    <row r="73" spans="1:4" x14ac:dyDescent="0.3">
      <c r="A73" s="24" t="s">
        <v>1047</v>
      </c>
      <c r="B73" t="s">
        <v>1042</v>
      </c>
    </row>
    <row r="74" spans="1:4" x14ac:dyDescent="0.3">
      <c r="A74" s="25">
        <v>1</v>
      </c>
      <c r="B74" s="21">
        <v>1</v>
      </c>
    </row>
    <row r="75" spans="1:4" x14ac:dyDescent="0.3">
      <c r="A75" s="25">
        <v>2</v>
      </c>
      <c r="B75" s="21">
        <v>9</v>
      </c>
    </row>
    <row r="76" spans="1:4" x14ac:dyDescent="0.3">
      <c r="A76" s="25">
        <v>3</v>
      </c>
      <c r="B76" s="21">
        <v>31</v>
      </c>
    </row>
    <row r="77" spans="1:4" x14ac:dyDescent="0.3">
      <c r="A77" s="25">
        <v>4</v>
      </c>
      <c r="B77" s="21">
        <v>88</v>
      </c>
    </row>
    <row r="78" spans="1:4" x14ac:dyDescent="0.3">
      <c r="A78" s="25">
        <v>5</v>
      </c>
      <c r="B78" s="21">
        <v>60</v>
      </c>
    </row>
    <row r="79" spans="1:4" x14ac:dyDescent="0.3">
      <c r="A79" s="25" t="s">
        <v>1048</v>
      </c>
      <c r="B79" s="21">
        <v>189</v>
      </c>
    </row>
    <row r="88" spans="1:7" x14ac:dyDescent="0.3">
      <c r="A88" s="24" t="s">
        <v>1043</v>
      </c>
      <c r="B88" s="24" t="s">
        <v>1076</v>
      </c>
    </row>
    <row r="89" spans="1:7" x14ac:dyDescent="0.3">
      <c r="A89" s="24" t="s">
        <v>1047</v>
      </c>
      <c r="B89" t="s">
        <v>11</v>
      </c>
      <c r="C89" t="s">
        <v>9</v>
      </c>
      <c r="D89" t="s">
        <v>6</v>
      </c>
      <c r="E89" t="s">
        <v>13</v>
      </c>
      <c r="F89" t="s">
        <v>10</v>
      </c>
      <c r="G89" t="s">
        <v>1048</v>
      </c>
    </row>
    <row r="90" spans="1:7" x14ac:dyDescent="0.3">
      <c r="A90" s="25" t="s">
        <v>1002</v>
      </c>
    </row>
    <row r="91" spans="1:7" x14ac:dyDescent="0.3">
      <c r="A91" s="29" t="s">
        <v>20</v>
      </c>
      <c r="B91" s="22">
        <v>891</v>
      </c>
      <c r="C91" s="22">
        <v>1332</v>
      </c>
      <c r="D91" s="22">
        <v>1282</v>
      </c>
      <c r="E91" s="22">
        <v>739</v>
      </c>
      <c r="F91" s="22">
        <v>560</v>
      </c>
      <c r="G91" s="22">
        <v>4804</v>
      </c>
    </row>
    <row r="92" spans="1:7" x14ac:dyDescent="0.3">
      <c r="A92" s="29" t="s">
        <v>12</v>
      </c>
      <c r="B92" s="22">
        <v>1991</v>
      </c>
      <c r="C92" s="22">
        <v>1886</v>
      </c>
      <c r="D92" s="22">
        <v>1206</v>
      </c>
      <c r="E92" s="22">
        <v>884</v>
      </c>
      <c r="F92" s="22">
        <v>1722</v>
      </c>
      <c r="G92" s="22">
        <v>7689</v>
      </c>
    </row>
    <row r="93" spans="1:7" x14ac:dyDescent="0.3">
      <c r="A93" s="29" t="s">
        <v>8</v>
      </c>
      <c r="B93" s="22">
        <v>1163</v>
      </c>
      <c r="C93" s="22">
        <v>1180</v>
      </c>
      <c r="D93" s="22">
        <v>1616</v>
      </c>
      <c r="E93" s="22">
        <v>1043</v>
      </c>
      <c r="F93" s="22">
        <v>1747</v>
      </c>
      <c r="G93" s="22">
        <v>6749</v>
      </c>
    </row>
    <row r="94" spans="1:7" x14ac:dyDescent="0.3">
      <c r="A94" s="29" t="s">
        <v>16</v>
      </c>
      <c r="B94" s="22">
        <v>1438</v>
      </c>
      <c r="C94" s="22">
        <v>1616</v>
      </c>
      <c r="D94" s="22">
        <v>866</v>
      </c>
      <c r="E94" s="22">
        <v>829</v>
      </c>
      <c r="F94" s="22">
        <v>2070</v>
      </c>
      <c r="G94" s="22">
        <v>6819</v>
      </c>
    </row>
    <row r="95" spans="1:7" x14ac:dyDescent="0.3">
      <c r="A95" s="25" t="s">
        <v>1001</v>
      </c>
    </row>
    <row r="96" spans="1:7" x14ac:dyDescent="0.3">
      <c r="A96" s="29" t="s">
        <v>24</v>
      </c>
      <c r="B96" s="22">
        <v>1233</v>
      </c>
      <c r="C96" s="22">
        <v>223</v>
      </c>
      <c r="D96" s="22">
        <v>1680</v>
      </c>
      <c r="E96" s="22">
        <v>990</v>
      </c>
      <c r="F96" s="22">
        <v>1508</v>
      </c>
      <c r="G96" s="22">
        <v>5634</v>
      </c>
    </row>
    <row r="97" spans="1:7" x14ac:dyDescent="0.3">
      <c r="A97" s="29" t="s">
        <v>15</v>
      </c>
      <c r="B97" s="22">
        <v>1598</v>
      </c>
      <c r="C97" s="22">
        <v>1907</v>
      </c>
      <c r="D97" s="22">
        <v>869</v>
      </c>
      <c r="E97" s="22">
        <v>1426</v>
      </c>
      <c r="F97" s="22">
        <v>1416</v>
      </c>
      <c r="G97" s="22">
        <v>7216</v>
      </c>
    </row>
    <row r="98" spans="1:7" x14ac:dyDescent="0.3">
      <c r="A98" s="29" t="s">
        <v>5</v>
      </c>
      <c r="B98" s="22">
        <v>900</v>
      </c>
      <c r="C98" s="22">
        <v>1016</v>
      </c>
      <c r="D98" s="22">
        <v>960</v>
      </c>
      <c r="E98" s="22">
        <v>940</v>
      </c>
      <c r="F98" s="22">
        <v>1193</v>
      </c>
      <c r="G98" s="22">
        <v>5009</v>
      </c>
    </row>
    <row r="99" spans="1:7" x14ac:dyDescent="0.3">
      <c r="A99" s="29" t="s">
        <v>18</v>
      </c>
      <c r="B99" s="22">
        <v>900</v>
      </c>
      <c r="C99" s="22">
        <v>1470</v>
      </c>
      <c r="D99" s="22">
        <v>1617</v>
      </c>
      <c r="E99" s="22">
        <v>1314</v>
      </c>
      <c r="F99" s="22">
        <v>941</v>
      </c>
      <c r="G99" s="22">
        <v>6242</v>
      </c>
    </row>
    <row r="100" spans="1:7" x14ac:dyDescent="0.3">
      <c r="A100" s="29" t="s">
        <v>14</v>
      </c>
      <c r="B100" s="22">
        <v>1255</v>
      </c>
      <c r="C100" s="22">
        <v>516</v>
      </c>
      <c r="D100" s="22">
        <v>1874</v>
      </c>
      <c r="E100" s="22">
        <v>1863</v>
      </c>
      <c r="F100" s="22">
        <v>1722</v>
      </c>
      <c r="G100" s="22">
        <v>7230</v>
      </c>
    </row>
    <row r="101" spans="1:7" x14ac:dyDescent="0.3">
      <c r="A101" s="29" t="s">
        <v>19</v>
      </c>
      <c r="B101" s="22">
        <v>1138</v>
      </c>
      <c r="C101" s="22">
        <v>1898</v>
      </c>
      <c r="D101" s="22">
        <v>1482</v>
      </c>
      <c r="E101" s="22">
        <v>846</v>
      </c>
      <c r="F101" s="22">
        <v>1154</v>
      </c>
      <c r="G101" s="22">
        <v>6518</v>
      </c>
    </row>
    <row r="102" spans="1:7" x14ac:dyDescent="0.3">
      <c r="A102" s="25" t="s">
        <v>1000</v>
      </c>
    </row>
    <row r="103" spans="1:7" x14ac:dyDescent="0.3">
      <c r="A103" s="29" t="s">
        <v>17</v>
      </c>
      <c r="B103" s="22">
        <v>1655</v>
      </c>
      <c r="C103" s="22">
        <v>805</v>
      </c>
      <c r="D103" s="22">
        <v>2263</v>
      </c>
      <c r="E103" s="22">
        <v>987</v>
      </c>
      <c r="F103" s="22">
        <v>1075</v>
      </c>
      <c r="G103" s="22">
        <v>6785</v>
      </c>
    </row>
    <row r="104" spans="1:7" x14ac:dyDescent="0.3">
      <c r="A104" s="29" t="s">
        <v>23</v>
      </c>
      <c r="B104" s="22">
        <v>1104</v>
      </c>
      <c r="C104" s="22">
        <v>2280</v>
      </c>
      <c r="D104" s="22">
        <v>1445</v>
      </c>
      <c r="E104" s="22">
        <v>1722</v>
      </c>
      <c r="F104" s="22">
        <v>1196</v>
      </c>
      <c r="G104" s="22">
        <v>7747</v>
      </c>
    </row>
    <row r="105" spans="1:7" x14ac:dyDescent="0.3">
      <c r="A105" s="29" t="s">
        <v>7</v>
      </c>
      <c r="B105" s="22">
        <v>372</v>
      </c>
      <c r="C105" s="22">
        <v>1818</v>
      </c>
      <c r="D105" s="22">
        <v>1346</v>
      </c>
      <c r="E105" s="22">
        <v>1156</v>
      </c>
      <c r="F105" s="22">
        <v>1484</v>
      </c>
      <c r="G105" s="22">
        <v>6176</v>
      </c>
    </row>
    <row r="106" spans="1:7" x14ac:dyDescent="0.3">
      <c r="A106" s="29" t="s">
        <v>22</v>
      </c>
      <c r="B106" s="22">
        <v>1415</v>
      </c>
      <c r="C106" s="22">
        <v>1271</v>
      </c>
      <c r="D106" s="22">
        <v>1214</v>
      </c>
      <c r="E106" s="22">
        <v>1135</v>
      </c>
      <c r="F106" s="22">
        <v>1566</v>
      </c>
      <c r="G106" s="22">
        <v>6601</v>
      </c>
    </row>
    <row r="107" spans="1:7" x14ac:dyDescent="0.3">
      <c r="A107" s="29" t="s">
        <v>21</v>
      </c>
      <c r="B107" s="22">
        <v>1362</v>
      </c>
      <c r="C107" s="22">
        <v>1363</v>
      </c>
      <c r="D107" s="22">
        <v>1152</v>
      </c>
      <c r="E107" s="22">
        <v>777</v>
      </c>
      <c r="F107" s="22">
        <v>750</v>
      </c>
      <c r="G107"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EA82-50DA-454C-87C4-E9711FCE9C86}">
  <dimension ref="A1:Y100"/>
  <sheetViews>
    <sheetView tabSelected="1" zoomScaleNormal="100" workbookViewId="0">
      <selection activeCell="Z23" sqref="Z23"/>
    </sheetView>
  </sheetViews>
  <sheetFormatPr defaultRowHeight="14.4" x14ac:dyDescent="0.3"/>
  <cols>
    <col min="1" max="2" width="3.21875" customWidth="1"/>
    <col min="5" max="5" width="4.88671875" customWidth="1"/>
    <col min="13" max="13" width="2.21875" customWidth="1"/>
    <col min="15" max="15" width="7.88671875" customWidth="1"/>
    <col min="16" max="16" width="12.33203125" customWidth="1"/>
    <col min="17" max="17" width="12.6640625" customWidth="1"/>
    <col min="18" max="18" width="11.88671875" customWidth="1"/>
    <col min="19" max="19" width="12.33203125" customWidth="1"/>
    <col min="20" max="20" width="11.5546875" customWidth="1"/>
    <col min="21" max="21" width="12.109375" customWidth="1"/>
    <col min="22" max="22" width="12.77734375" customWidth="1"/>
  </cols>
  <sheetData>
    <row r="1" spans="1:25" ht="37.200000000000003" customHeight="1" x14ac:dyDescent="0.65">
      <c r="A1" s="31"/>
      <c r="B1" s="20"/>
      <c r="C1" s="46" t="s">
        <v>1085</v>
      </c>
      <c r="D1" s="47"/>
      <c r="E1" s="47"/>
      <c r="F1" s="47"/>
      <c r="G1" s="47"/>
      <c r="H1" s="47"/>
      <c r="I1" s="47"/>
      <c r="J1" s="47"/>
      <c r="K1" s="47"/>
      <c r="L1" s="47"/>
      <c r="M1" s="47"/>
      <c r="N1" s="47"/>
      <c r="O1" s="47"/>
      <c r="P1" s="47"/>
      <c r="Q1" s="47"/>
      <c r="R1" s="47"/>
      <c r="S1" s="47"/>
      <c r="T1" s="47"/>
      <c r="U1" s="47"/>
      <c r="V1" s="47"/>
      <c r="W1" s="31"/>
      <c r="X1" s="31"/>
      <c r="Y1" s="31"/>
    </row>
    <row r="2" spans="1:25" ht="3.6" customHeight="1" x14ac:dyDescent="0.3">
      <c r="A2" s="31"/>
      <c r="B2" s="31"/>
      <c r="C2" s="31"/>
      <c r="D2" s="31"/>
      <c r="E2" s="31"/>
      <c r="F2" s="31"/>
      <c r="G2" s="31"/>
      <c r="H2" s="31"/>
      <c r="I2" s="31"/>
      <c r="J2" s="31"/>
      <c r="K2" s="31"/>
      <c r="L2" s="31"/>
      <c r="M2" s="31"/>
      <c r="N2" s="31"/>
      <c r="O2" s="31"/>
      <c r="P2" s="31"/>
      <c r="Q2" s="31"/>
      <c r="R2" s="31"/>
      <c r="S2" s="31"/>
      <c r="T2" s="31"/>
      <c r="U2" s="31"/>
      <c r="V2" s="31"/>
      <c r="W2" s="31"/>
      <c r="X2" s="31"/>
      <c r="Y2" s="31"/>
    </row>
    <row r="3" spans="1:25" x14ac:dyDescent="0.3">
      <c r="A3" s="31"/>
      <c r="B3" s="31"/>
      <c r="C3" s="31"/>
      <c r="D3" s="31"/>
      <c r="E3" s="31"/>
      <c r="F3" s="31"/>
      <c r="G3" s="31"/>
      <c r="H3" s="31"/>
      <c r="I3" s="31"/>
      <c r="J3" s="31"/>
      <c r="K3" s="31"/>
      <c r="L3" s="31"/>
      <c r="M3" s="31"/>
      <c r="N3" s="31"/>
      <c r="O3" s="31"/>
      <c r="P3" s="31"/>
      <c r="Q3" s="31"/>
      <c r="R3" s="31"/>
      <c r="S3" s="31"/>
      <c r="T3" s="31"/>
      <c r="U3" s="31"/>
      <c r="V3" s="31"/>
      <c r="W3" s="31"/>
      <c r="X3" s="31"/>
      <c r="Y3" s="31"/>
    </row>
    <row r="4" spans="1:25" x14ac:dyDescent="0.3">
      <c r="A4" s="31"/>
      <c r="B4" s="31"/>
      <c r="C4" s="31"/>
      <c r="D4" s="31"/>
      <c r="E4" s="31"/>
      <c r="F4" s="31"/>
      <c r="G4" s="31"/>
      <c r="H4" s="31"/>
      <c r="I4" s="31"/>
      <c r="J4" s="31"/>
      <c r="K4" s="31"/>
      <c r="L4" s="31"/>
      <c r="M4" s="31"/>
      <c r="N4" s="31"/>
      <c r="O4" s="31"/>
      <c r="P4" s="31"/>
      <c r="Q4" s="31"/>
      <c r="R4" s="31"/>
      <c r="S4" s="31"/>
      <c r="T4" s="31"/>
      <c r="U4" s="31"/>
      <c r="V4" s="31"/>
      <c r="W4" s="31"/>
      <c r="X4" s="31"/>
      <c r="Y4" s="31"/>
    </row>
    <row r="5" spans="1:25" x14ac:dyDescent="0.3">
      <c r="A5" s="31"/>
      <c r="B5" s="31"/>
      <c r="C5" s="31"/>
      <c r="D5" s="31"/>
      <c r="E5" s="31"/>
      <c r="F5" s="31"/>
      <c r="G5" s="31"/>
      <c r="H5" s="31"/>
      <c r="I5" s="31"/>
      <c r="J5" s="31"/>
      <c r="K5" s="31"/>
      <c r="L5" s="31"/>
      <c r="M5" s="31"/>
      <c r="N5" s="31"/>
      <c r="O5" s="31"/>
      <c r="P5" s="31"/>
      <c r="Q5" s="31"/>
      <c r="R5" s="31"/>
      <c r="S5" s="31"/>
      <c r="T5" s="31"/>
      <c r="U5" s="31"/>
      <c r="V5" s="31"/>
      <c r="W5" s="31"/>
      <c r="X5" s="31"/>
      <c r="Y5" s="31"/>
    </row>
    <row r="6" spans="1:25" x14ac:dyDescent="0.3">
      <c r="A6" s="31"/>
      <c r="B6" s="31"/>
      <c r="C6" s="31"/>
      <c r="D6" s="31"/>
      <c r="E6" s="31"/>
      <c r="F6" s="31"/>
      <c r="G6" s="31"/>
      <c r="H6" s="31"/>
      <c r="I6" s="31"/>
      <c r="J6" s="31"/>
      <c r="K6" s="31"/>
      <c r="L6" s="31"/>
      <c r="M6" s="31"/>
      <c r="N6" s="31"/>
      <c r="O6" s="31"/>
      <c r="P6" s="31"/>
      <c r="Q6" s="31"/>
      <c r="R6" s="31"/>
      <c r="S6" s="31"/>
      <c r="T6" s="31"/>
      <c r="U6" s="31"/>
      <c r="V6" s="31"/>
      <c r="W6" s="31"/>
      <c r="X6" s="31"/>
      <c r="Y6" s="31"/>
    </row>
    <row r="7" spans="1:25" x14ac:dyDescent="0.3">
      <c r="A7" s="31"/>
      <c r="B7" s="31"/>
      <c r="C7" s="31"/>
      <c r="D7" s="31"/>
      <c r="E7" s="31"/>
      <c r="F7" s="31"/>
      <c r="G7" s="31"/>
      <c r="H7" s="31"/>
      <c r="I7" s="31"/>
      <c r="J7" s="31"/>
      <c r="K7" s="31"/>
      <c r="L7" s="31"/>
      <c r="M7" s="31"/>
      <c r="N7" s="31"/>
      <c r="O7" s="31"/>
      <c r="P7" s="31"/>
      <c r="Q7" s="31"/>
      <c r="R7" s="31"/>
      <c r="S7" s="31"/>
      <c r="T7" s="31"/>
      <c r="U7" s="31"/>
      <c r="V7" s="31"/>
      <c r="W7" s="31"/>
      <c r="X7" s="31"/>
      <c r="Y7" s="31"/>
    </row>
    <row r="8" spans="1:25" x14ac:dyDescent="0.3">
      <c r="A8" s="31"/>
      <c r="B8" s="31"/>
      <c r="C8" s="31"/>
      <c r="D8" s="31"/>
      <c r="E8" s="31"/>
      <c r="F8" s="31"/>
      <c r="G8" s="31"/>
      <c r="H8" s="31"/>
      <c r="I8" s="31"/>
      <c r="J8" s="31"/>
      <c r="K8" s="31"/>
      <c r="L8" s="31"/>
      <c r="M8" s="31"/>
      <c r="N8" s="31"/>
      <c r="O8" s="31"/>
      <c r="P8" s="31"/>
      <c r="Q8" s="31"/>
      <c r="R8" s="31"/>
      <c r="S8" s="31"/>
      <c r="T8" s="31"/>
      <c r="U8" s="31"/>
      <c r="V8" s="31"/>
      <c r="W8" s="31"/>
      <c r="X8" s="31"/>
      <c r="Y8" s="31"/>
    </row>
    <row r="9" spans="1:25" x14ac:dyDescent="0.3">
      <c r="A9" s="31"/>
      <c r="B9" s="31"/>
      <c r="C9" s="31"/>
      <c r="D9" s="31"/>
      <c r="E9" s="31"/>
      <c r="F9" s="31"/>
      <c r="G9" s="31"/>
      <c r="H9" s="31"/>
      <c r="I9" s="31"/>
      <c r="J9" s="31"/>
      <c r="K9" s="31"/>
      <c r="L9" s="31"/>
      <c r="M9" s="31"/>
      <c r="N9" s="31"/>
      <c r="O9" s="31"/>
      <c r="P9" s="31"/>
      <c r="Q9" s="31"/>
      <c r="R9" s="31"/>
      <c r="S9" s="31"/>
      <c r="T9" s="31"/>
      <c r="U9" s="31"/>
      <c r="V9" s="31"/>
      <c r="W9" s="31"/>
      <c r="X9" s="31"/>
      <c r="Y9" s="31"/>
    </row>
    <row r="10" spans="1:25" x14ac:dyDescent="0.3">
      <c r="A10" s="31"/>
      <c r="B10" s="31"/>
      <c r="C10" s="31"/>
      <c r="D10" s="31"/>
      <c r="E10" s="31"/>
      <c r="F10" s="31"/>
      <c r="G10" s="31"/>
      <c r="H10" s="31"/>
      <c r="I10" s="31"/>
      <c r="J10" s="31"/>
      <c r="K10" s="31"/>
      <c r="L10" s="31"/>
      <c r="M10" s="31"/>
      <c r="N10" s="31"/>
      <c r="O10" s="31"/>
      <c r="P10" s="31"/>
      <c r="Q10" s="31"/>
      <c r="R10" s="31"/>
      <c r="S10" s="31"/>
      <c r="T10" s="31"/>
      <c r="U10" s="31"/>
      <c r="V10" s="31"/>
      <c r="W10" s="31"/>
      <c r="X10" s="31"/>
      <c r="Y10" s="31"/>
    </row>
    <row r="11" spans="1:25" x14ac:dyDescent="0.3">
      <c r="A11" s="31"/>
      <c r="B11" s="31"/>
      <c r="C11" s="31"/>
      <c r="D11" s="31"/>
      <c r="E11" s="31"/>
      <c r="F11" s="31"/>
      <c r="G11" s="31"/>
      <c r="H11" s="31"/>
      <c r="I11" s="31"/>
      <c r="J11" s="31"/>
      <c r="K11" s="31"/>
      <c r="L11" s="31"/>
      <c r="M11" s="31"/>
      <c r="N11" s="31"/>
      <c r="O11" s="31"/>
      <c r="P11" s="31"/>
      <c r="Q11" s="31"/>
      <c r="R11" s="31"/>
      <c r="S11" s="31"/>
      <c r="T11" s="31"/>
      <c r="U11" s="31"/>
      <c r="V11" s="31"/>
      <c r="W11" s="31"/>
      <c r="X11" s="31"/>
      <c r="Y11" s="31"/>
    </row>
    <row r="12" spans="1:25" x14ac:dyDescent="0.3">
      <c r="A12" s="31"/>
      <c r="B12" s="31"/>
      <c r="C12" s="31"/>
      <c r="D12" s="31"/>
      <c r="E12" s="31"/>
      <c r="F12" s="31"/>
      <c r="G12" s="31"/>
      <c r="H12" s="31"/>
      <c r="I12" s="31"/>
      <c r="J12" s="31"/>
      <c r="K12" s="31"/>
      <c r="L12" s="31"/>
      <c r="M12" s="31"/>
      <c r="N12" s="31"/>
      <c r="O12" s="31"/>
      <c r="P12" s="31"/>
      <c r="Q12" s="31"/>
      <c r="R12" s="31"/>
      <c r="S12" s="31"/>
      <c r="T12" s="31"/>
      <c r="U12" s="31"/>
      <c r="V12" s="31"/>
      <c r="W12" s="31"/>
      <c r="X12" s="31"/>
      <c r="Y12" s="31"/>
    </row>
    <row r="13" spans="1:25" x14ac:dyDescent="0.3">
      <c r="A13" s="31"/>
      <c r="B13" s="31"/>
      <c r="C13" s="31"/>
      <c r="D13" s="31"/>
      <c r="E13" s="31"/>
      <c r="F13" s="31"/>
      <c r="G13" s="31"/>
      <c r="H13" s="31"/>
      <c r="I13" s="31"/>
      <c r="J13" s="31"/>
      <c r="K13" s="31"/>
      <c r="L13" s="31"/>
      <c r="M13" s="31"/>
      <c r="N13" s="31"/>
      <c r="O13" s="31"/>
      <c r="P13" s="31"/>
      <c r="Q13" s="31"/>
      <c r="R13" s="31"/>
      <c r="S13" s="31"/>
      <c r="T13" s="31"/>
      <c r="U13" s="31"/>
      <c r="V13" s="31"/>
      <c r="W13" s="31"/>
      <c r="X13" s="31"/>
      <c r="Y13" s="31"/>
    </row>
    <row r="14" spans="1:25" x14ac:dyDescent="0.3">
      <c r="A14" s="31"/>
      <c r="B14" s="31"/>
      <c r="C14" s="31"/>
      <c r="D14" s="31"/>
      <c r="E14" s="31"/>
      <c r="F14" s="31"/>
      <c r="G14" s="31"/>
      <c r="H14" s="31"/>
      <c r="I14" s="31"/>
      <c r="J14" s="31"/>
      <c r="K14" s="31"/>
      <c r="L14" s="31"/>
      <c r="M14" s="31"/>
      <c r="N14" s="31"/>
      <c r="O14" s="31"/>
      <c r="P14" s="31"/>
      <c r="Q14" s="31"/>
      <c r="R14" s="31"/>
      <c r="S14" s="31"/>
      <c r="T14" s="31"/>
      <c r="U14" s="31"/>
      <c r="V14" s="31"/>
      <c r="W14" s="31"/>
      <c r="X14" s="31"/>
      <c r="Y14" s="31"/>
    </row>
    <row r="15" spans="1:25" x14ac:dyDescent="0.3">
      <c r="A15" s="31"/>
      <c r="B15" s="31"/>
      <c r="C15" s="31"/>
      <c r="D15" s="31"/>
      <c r="E15" s="31"/>
      <c r="F15" s="31"/>
      <c r="G15" s="31"/>
      <c r="H15" s="31"/>
      <c r="I15" s="31"/>
      <c r="J15" s="31"/>
      <c r="K15" s="31"/>
      <c r="L15" s="31"/>
      <c r="M15" s="31"/>
      <c r="N15" s="31"/>
      <c r="O15" s="31"/>
      <c r="P15" s="31"/>
      <c r="Q15" s="31"/>
      <c r="R15" s="31"/>
      <c r="S15" s="31"/>
      <c r="T15" s="31"/>
      <c r="U15" s="31"/>
      <c r="V15" s="31"/>
      <c r="W15" s="31"/>
      <c r="X15" s="31"/>
      <c r="Y15" s="31"/>
    </row>
    <row r="16" spans="1:25" x14ac:dyDescent="0.3">
      <c r="A16" s="31"/>
      <c r="B16" s="31"/>
      <c r="C16" s="31"/>
      <c r="D16" s="31"/>
      <c r="E16" s="31"/>
      <c r="F16" s="31"/>
      <c r="G16" s="31"/>
      <c r="H16" s="31"/>
      <c r="I16" s="31"/>
      <c r="J16" s="31"/>
      <c r="K16" s="31"/>
      <c r="L16" s="31"/>
      <c r="M16" s="31"/>
      <c r="N16" s="31"/>
      <c r="O16" s="31"/>
      <c r="P16" s="31"/>
      <c r="Q16" s="31"/>
      <c r="R16" s="31"/>
      <c r="S16" s="31"/>
      <c r="T16" s="31"/>
      <c r="U16" s="31"/>
      <c r="V16" s="31"/>
      <c r="W16" s="31"/>
      <c r="X16" s="31"/>
      <c r="Y16" s="31"/>
    </row>
    <row r="17" spans="1:25" x14ac:dyDescent="0.3">
      <c r="A17" s="31"/>
      <c r="B17" s="31"/>
      <c r="C17" s="31"/>
      <c r="D17" s="31"/>
      <c r="E17" s="31"/>
      <c r="F17" s="31"/>
      <c r="G17" s="31"/>
      <c r="H17" s="31"/>
      <c r="I17" s="31"/>
      <c r="J17" s="31"/>
      <c r="K17" s="31"/>
      <c r="L17" s="31"/>
      <c r="M17" s="31"/>
      <c r="N17" s="31"/>
      <c r="O17" s="31"/>
      <c r="P17" s="31"/>
      <c r="Q17" s="31"/>
      <c r="R17" s="31"/>
      <c r="S17" s="31"/>
      <c r="T17" s="31"/>
      <c r="U17" s="31"/>
      <c r="V17" s="31"/>
      <c r="W17" s="31"/>
      <c r="X17" s="31"/>
      <c r="Y17" s="31"/>
    </row>
    <row r="18" spans="1:25" x14ac:dyDescent="0.3">
      <c r="A18" s="31"/>
      <c r="B18" s="31"/>
      <c r="C18" s="31"/>
      <c r="D18" s="31"/>
      <c r="E18" s="31"/>
      <c r="F18" s="31"/>
      <c r="G18" s="31"/>
      <c r="H18" s="31"/>
      <c r="I18" s="31"/>
      <c r="J18" s="31"/>
      <c r="K18" s="31"/>
      <c r="L18" s="31"/>
      <c r="M18" s="31"/>
      <c r="N18" s="31"/>
      <c r="O18" s="31"/>
      <c r="P18" s="32"/>
      <c r="Q18" s="33" t="str" cm="1">
        <f t="array" ref="Q18:U18">pivots!B89:F89</f>
        <v>R01</v>
      </c>
      <c r="R18" s="33" t="str">
        <v>R02</v>
      </c>
      <c r="S18" s="33" t="str">
        <v>R03</v>
      </c>
      <c r="T18" s="33" t="str">
        <v>R04</v>
      </c>
      <c r="U18" s="33" t="str">
        <v>R05</v>
      </c>
      <c r="V18" s="34" t="s">
        <v>1077</v>
      </c>
      <c r="W18" s="31"/>
      <c r="X18" s="31"/>
      <c r="Y18" s="31"/>
    </row>
    <row r="19" spans="1:25" x14ac:dyDescent="0.3">
      <c r="A19" s="31"/>
      <c r="B19" s="31"/>
      <c r="C19" s="31"/>
      <c r="D19" s="31"/>
      <c r="E19" s="31"/>
      <c r="F19" s="31"/>
      <c r="G19" s="31"/>
      <c r="H19" s="31"/>
      <c r="I19" s="31"/>
      <c r="J19" s="31"/>
      <c r="K19" s="31"/>
      <c r="L19" s="31"/>
      <c r="M19" s="31"/>
      <c r="N19" s="31"/>
      <c r="O19" s="31"/>
      <c r="P19" s="43" t="str" cm="1">
        <f t="array" ref="P19:V36">IF(pivots!A90:G107="","",pivots!A90:G107)</f>
        <v>Cincinnati</v>
      </c>
      <c r="Q19" s="35" t="str">
        <v/>
      </c>
      <c r="R19" s="35" t="str">
        <v/>
      </c>
      <c r="S19" s="35" t="str">
        <v/>
      </c>
      <c r="T19" s="35" t="str">
        <v/>
      </c>
      <c r="U19" s="35" t="str">
        <v/>
      </c>
      <c r="V19" s="36" t="str">
        <v/>
      </c>
      <c r="W19" s="31"/>
      <c r="X19" s="31"/>
      <c r="Y19" s="31"/>
    </row>
    <row r="20" spans="1:25" x14ac:dyDescent="0.3">
      <c r="A20" s="31"/>
      <c r="B20" s="31"/>
      <c r="C20" s="31"/>
      <c r="D20" s="31"/>
      <c r="E20" s="31"/>
      <c r="F20" s="31"/>
      <c r="G20" s="31"/>
      <c r="H20" s="31"/>
      <c r="I20" s="31"/>
      <c r="J20" s="31"/>
      <c r="K20" s="31"/>
      <c r="L20" s="31"/>
      <c r="M20" s="31"/>
      <c r="N20" s="31"/>
      <c r="O20" s="31"/>
      <c r="P20" s="37" t="str">
        <v>C0003</v>
      </c>
      <c r="Q20" s="38">
        <v>891</v>
      </c>
      <c r="R20" s="38">
        <v>1332</v>
      </c>
      <c r="S20" s="38">
        <v>1282</v>
      </c>
      <c r="T20" s="38">
        <v>739</v>
      </c>
      <c r="U20" s="38">
        <v>560</v>
      </c>
      <c r="V20" s="39">
        <v>4804</v>
      </c>
      <c r="W20" s="31"/>
      <c r="X20" s="31"/>
      <c r="Y20" s="31"/>
    </row>
    <row r="21" spans="1:25" x14ac:dyDescent="0.3">
      <c r="A21" s="31"/>
      <c r="B21" s="31"/>
      <c r="C21" s="31"/>
      <c r="D21" s="31"/>
      <c r="E21" s="31"/>
      <c r="F21" s="31"/>
      <c r="G21" s="31"/>
      <c r="H21" s="31"/>
      <c r="I21" s="31"/>
      <c r="J21" s="31"/>
      <c r="K21" s="31"/>
      <c r="L21" s="31"/>
      <c r="M21" s="31"/>
      <c r="N21" s="31"/>
      <c r="O21" s="31"/>
      <c r="P21" s="37" t="str">
        <v>C0004</v>
      </c>
      <c r="Q21" s="38">
        <v>1991</v>
      </c>
      <c r="R21" s="38">
        <v>1886</v>
      </c>
      <c r="S21" s="38">
        <v>1206</v>
      </c>
      <c r="T21" s="38">
        <v>884</v>
      </c>
      <c r="U21" s="38">
        <v>1722</v>
      </c>
      <c r="V21" s="39">
        <v>7689</v>
      </c>
      <c r="W21" s="31"/>
      <c r="X21" s="31"/>
      <c r="Y21" s="31"/>
    </row>
    <row r="22" spans="1:25" x14ac:dyDescent="0.3">
      <c r="A22" s="31"/>
      <c r="B22" s="31"/>
      <c r="C22" s="31"/>
      <c r="D22" s="31"/>
      <c r="E22" s="31"/>
      <c r="F22" s="31"/>
      <c r="G22" s="31"/>
      <c r="H22" s="31"/>
      <c r="I22" s="31"/>
      <c r="J22" s="31"/>
      <c r="K22" s="31"/>
      <c r="L22" s="31"/>
      <c r="M22" s="31"/>
      <c r="N22" s="31"/>
      <c r="O22" s="31"/>
      <c r="P22" s="37" t="str">
        <v>C0011</v>
      </c>
      <c r="Q22" s="38">
        <v>1163</v>
      </c>
      <c r="R22" s="38">
        <v>1180</v>
      </c>
      <c r="S22" s="38">
        <v>1616</v>
      </c>
      <c r="T22" s="38">
        <v>1043</v>
      </c>
      <c r="U22" s="38">
        <v>1747</v>
      </c>
      <c r="V22" s="39">
        <v>6749</v>
      </c>
      <c r="W22" s="31"/>
      <c r="X22" s="31"/>
      <c r="Y22" s="31"/>
    </row>
    <row r="23" spans="1:25" x14ac:dyDescent="0.3">
      <c r="A23" s="31"/>
      <c r="B23" s="31"/>
      <c r="C23" s="31"/>
      <c r="D23" s="31"/>
      <c r="E23" s="31"/>
      <c r="F23" s="31"/>
      <c r="G23" s="31"/>
      <c r="H23" s="31"/>
      <c r="I23" s="31"/>
      <c r="J23" s="31"/>
      <c r="K23" s="31"/>
      <c r="L23" s="31"/>
      <c r="M23" s="31"/>
      <c r="N23" s="31"/>
      <c r="O23" s="31"/>
      <c r="P23" s="37" t="str">
        <v>C0012</v>
      </c>
      <c r="Q23" s="38">
        <v>1438</v>
      </c>
      <c r="R23" s="38">
        <v>1616</v>
      </c>
      <c r="S23" s="38">
        <v>866</v>
      </c>
      <c r="T23" s="38">
        <v>829</v>
      </c>
      <c r="U23" s="38">
        <v>2070</v>
      </c>
      <c r="V23" s="39">
        <v>6819</v>
      </c>
      <c r="W23" s="31"/>
      <c r="X23" s="31"/>
      <c r="Y23" s="31"/>
    </row>
    <row r="24" spans="1:25" x14ac:dyDescent="0.3">
      <c r="A24" s="31"/>
      <c r="B24" s="31"/>
      <c r="C24" s="31"/>
      <c r="D24" s="31"/>
      <c r="E24" s="31"/>
      <c r="F24" s="31"/>
      <c r="G24" s="31"/>
      <c r="H24" s="31"/>
      <c r="I24" s="31"/>
      <c r="J24" s="31"/>
      <c r="K24" s="31"/>
      <c r="L24" s="31"/>
      <c r="M24" s="31"/>
      <c r="N24" s="31"/>
      <c r="O24" s="31"/>
      <c r="P24" s="43" t="str">
        <v>Cleveland</v>
      </c>
      <c r="Q24" s="38" t="str">
        <v/>
      </c>
      <c r="R24" s="38" t="str">
        <v/>
      </c>
      <c r="S24" s="38" t="str">
        <v/>
      </c>
      <c r="T24" s="38" t="str">
        <v/>
      </c>
      <c r="U24" s="38" t="str">
        <v/>
      </c>
      <c r="V24" s="39" t="str">
        <v/>
      </c>
      <c r="W24" s="31"/>
      <c r="X24" s="31"/>
      <c r="Y24" s="31"/>
    </row>
    <row r="25" spans="1:25" x14ac:dyDescent="0.3">
      <c r="A25" s="31"/>
      <c r="B25" s="31"/>
      <c r="C25" s="31"/>
      <c r="D25" s="31"/>
      <c r="E25" s="31"/>
      <c r="F25" s="31"/>
      <c r="G25" s="31"/>
      <c r="H25" s="31"/>
      <c r="I25" s="31"/>
      <c r="J25" s="31"/>
      <c r="K25" s="31"/>
      <c r="L25" s="31"/>
      <c r="M25" s="31"/>
      <c r="N25" s="31"/>
      <c r="O25" s="31"/>
      <c r="P25" s="37" t="str">
        <v>C0002</v>
      </c>
      <c r="Q25" s="38">
        <v>1233</v>
      </c>
      <c r="R25" s="38">
        <v>223</v>
      </c>
      <c r="S25" s="38">
        <v>1680</v>
      </c>
      <c r="T25" s="38">
        <v>990</v>
      </c>
      <c r="U25" s="38">
        <v>1508</v>
      </c>
      <c r="V25" s="39">
        <v>5634</v>
      </c>
      <c r="W25" s="31"/>
      <c r="X25" s="31"/>
      <c r="Y25" s="31"/>
    </row>
    <row r="26" spans="1:25" x14ac:dyDescent="0.3">
      <c r="A26" s="31"/>
      <c r="B26" s="31"/>
      <c r="C26" s="31"/>
      <c r="D26" s="31"/>
      <c r="E26" s="31"/>
      <c r="F26" s="31"/>
      <c r="G26" s="31"/>
      <c r="H26" s="31"/>
      <c r="I26" s="31"/>
      <c r="J26" s="31"/>
      <c r="K26" s="31"/>
      <c r="L26" s="31"/>
      <c r="M26" s="31"/>
      <c r="N26" s="31"/>
      <c r="O26" s="31"/>
      <c r="P26" s="37" t="str">
        <v>C0007</v>
      </c>
      <c r="Q26" s="38">
        <v>1598</v>
      </c>
      <c r="R26" s="38">
        <v>1907</v>
      </c>
      <c r="S26" s="38">
        <v>869</v>
      </c>
      <c r="T26" s="38">
        <v>1426</v>
      </c>
      <c r="U26" s="38">
        <v>1416</v>
      </c>
      <c r="V26" s="39">
        <v>7216</v>
      </c>
      <c r="W26" s="31"/>
      <c r="X26" s="31"/>
      <c r="Y26" s="31"/>
    </row>
    <row r="27" spans="1:25" x14ac:dyDescent="0.3">
      <c r="A27" s="31"/>
      <c r="B27" s="31"/>
      <c r="C27" s="31"/>
      <c r="D27" s="31"/>
      <c r="E27" s="31"/>
      <c r="F27" s="31"/>
      <c r="G27" s="31"/>
      <c r="H27" s="31"/>
      <c r="I27" s="31"/>
      <c r="J27" s="31"/>
      <c r="K27" s="31"/>
      <c r="L27" s="31"/>
      <c r="M27" s="31"/>
      <c r="N27" s="48" t="e" vm="6">
        <f>pivots!J55</f>
        <v>#VALUE!</v>
      </c>
      <c r="O27" s="49"/>
      <c r="P27" s="37" t="str">
        <v>C0008</v>
      </c>
      <c r="Q27" s="38">
        <v>900</v>
      </c>
      <c r="R27" s="38">
        <v>1016</v>
      </c>
      <c r="S27" s="38">
        <v>960</v>
      </c>
      <c r="T27" s="38">
        <v>940</v>
      </c>
      <c r="U27" s="38">
        <v>1193</v>
      </c>
      <c r="V27" s="39">
        <v>5009</v>
      </c>
      <c r="W27" s="31"/>
      <c r="X27" s="31"/>
      <c r="Y27" s="31"/>
    </row>
    <row r="28" spans="1:25" x14ac:dyDescent="0.3">
      <c r="A28" s="31"/>
      <c r="B28" s="31"/>
      <c r="C28" s="31"/>
      <c r="D28" s="31"/>
      <c r="E28" s="31"/>
      <c r="F28" s="31"/>
      <c r="G28" s="31"/>
      <c r="H28" s="31"/>
      <c r="I28" s="31"/>
      <c r="J28" s="31"/>
      <c r="K28" s="31"/>
      <c r="L28" s="31"/>
      <c r="M28" s="31"/>
      <c r="N28" s="48"/>
      <c r="O28" s="49"/>
      <c r="P28" s="37" t="str">
        <v>C0010</v>
      </c>
      <c r="Q28" s="38">
        <v>900</v>
      </c>
      <c r="R28" s="38">
        <v>1470</v>
      </c>
      <c r="S28" s="38">
        <v>1617</v>
      </c>
      <c r="T28" s="38">
        <v>1314</v>
      </c>
      <c r="U28" s="38">
        <v>941</v>
      </c>
      <c r="V28" s="39">
        <v>6242</v>
      </c>
      <c r="W28" s="31"/>
      <c r="X28" s="31"/>
      <c r="Y28" s="31"/>
    </row>
    <row r="29" spans="1:25" x14ac:dyDescent="0.3">
      <c r="A29" s="31"/>
      <c r="B29" s="31"/>
      <c r="C29" s="31"/>
      <c r="D29" s="31"/>
      <c r="E29" s="31"/>
      <c r="F29" s="31"/>
      <c r="G29" s="31"/>
      <c r="H29" s="31"/>
      <c r="I29" s="31"/>
      <c r="J29" s="31"/>
      <c r="K29" s="31"/>
      <c r="L29" s="31"/>
      <c r="M29" s="31"/>
      <c r="N29" s="48"/>
      <c r="O29" s="49"/>
      <c r="P29" s="37" t="str">
        <v>C0013</v>
      </c>
      <c r="Q29" s="38">
        <v>1255</v>
      </c>
      <c r="R29" s="38">
        <v>516</v>
      </c>
      <c r="S29" s="38">
        <v>1874</v>
      </c>
      <c r="T29" s="38">
        <v>1863</v>
      </c>
      <c r="U29" s="38">
        <v>1722</v>
      </c>
      <c r="V29" s="39">
        <v>7230</v>
      </c>
      <c r="W29" s="31"/>
      <c r="X29" s="31"/>
      <c r="Y29" s="31"/>
    </row>
    <row r="30" spans="1:25" x14ac:dyDescent="0.3">
      <c r="A30" s="31"/>
      <c r="B30" s="31"/>
      <c r="C30" s="31"/>
      <c r="D30" s="31"/>
      <c r="E30" s="31"/>
      <c r="F30" s="31"/>
      <c r="G30" s="31"/>
      <c r="H30" s="31"/>
      <c r="I30" s="31"/>
      <c r="J30" s="31"/>
      <c r="K30" s="31"/>
      <c r="L30" s="31"/>
      <c r="M30" s="31"/>
      <c r="N30" s="48"/>
      <c r="O30" s="49"/>
      <c r="P30" s="37" t="str">
        <v>C0015</v>
      </c>
      <c r="Q30" s="38">
        <v>1138</v>
      </c>
      <c r="R30" s="38">
        <v>1898</v>
      </c>
      <c r="S30" s="38">
        <v>1482</v>
      </c>
      <c r="T30" s="38">
        <v>846</v>
      </c>
      <c r="U30" s="38">
        <v>1154</v>
      </c>
      <c r="V30" s="39">
        <v>6518</v>
      </c>
      <c r="W30" s="31"/>
      <c r="X30" s="31"/>
      <c r="Y30" s="31"/>
    </row>
    <row r="31" spans="1:25" x14ac:dyDescent="0.3">
      <c r="A31" s="31"/>
      <c r="B31" s="31"/>
      <c r="C31" s="31"/>
      <c r="D31" s="31"/>
      <c r="E31" s="31"/>
      <c r="F31" s="31"/>
      <c r="G31" s="31"/>
      <c r="H31" s="31"/>
      <c r="I31" s="31"/>
      <c r="J31" s="31"/>
      <c r="K31" s="31"/>
      <c r="L31" s="31"/>
      <c r="M31" s="31"/>
      <c r="N31" s="48"/>
      <c r="O31" s="49"/>
      <c r="P31" s="43" t="str">
        <v>Columbus</v>
      </c>
      <c r="Q31" s="38" t="str">
        <v/>
      </c>
      <c r="R31" s="38" t="str">
        <v/>
      </c>
      <c r="S31" s="38" t="str">
        <v/>
      </c>
      <c r="T31" s="38" t="str">
        <v/>
      </c>
      <c r="U31" s="38" t="str">
        <v/>
      </c>
      <c r="V31" s="39" t="str">
        <v/>
      </c>
      <c r="W31" s="31"/>
      <c r="X31" s="31"/>
      <c r="Y31" s="31"/>
    </row>
    <row r="32" spans="1:25" x14ac:dyDescent="0.3">
      <c r="A32" s="31"/>
      <c r="B32" s="31"/>
      <c r="C32" s="31"/>
      <c r="D32" s="31"/>
      <c r="E32" s="31"/>
      <c r="F32" s="31"/>
      <c r="G32" s="31"/>
      <c r="H32" s="31"/>
      <c r="I32" s="31"/>
      <c r="J32" s="31"/>
      <c r="K32" s="31"/>
      <c r="L32" s="31"/>
      <c r="M32" s="31"/>
      <c r="N32" s="48"/>
      <c r="O32" s="49"/>
      <c r="P32" s="37" t="str">
        <v>C0001</v>
      </c>
      <c r="Q32" s="38">
        <v>1655</v>
      </c>
      <c r="R32" s="38">
        <v>805</v>
      </c>
      <c r="S32" s="38">
        <v>2263</v>
      </c>
      <c r="T32" s="38">
        <v>987</v>
      </c>
      <c r="U32" s="38">
        <v>1075</v>
      </c>
      <c r="V32" s="39">
        <v>6785</v>
      </c>
      <c r="W32" s="31"/>
      <c r="X32" s="31"/>
      <c r="Y32" s="31"/>
    </row>
    <row r="33" spans="1:25" x14ac:dyDescent="0.3">
      <c r="A33" s="31"/>
      <c r="B33" s="31"/>
      <c r="C33" s="31"/>
      <c r="D33" s="31"/>
      <c r="E33" s="31"/>
      <c r="F33" s="31"/>
      <c r="G33" s="31"/>
      <c r="H33" s="31"/>
      <c r="I33" s="31"/>
      <c r="J33" s="31"/>
      <c r="K33" s="31"/>
      <c r="L33" s="31"/>
      <c r="M33" s="31"/>
      <c r="N33" s="44" t="str">
        <f>pivots!J52</f>
        <v>% of Calls: 19%</v>
      </c>
      <c r="O33" s="45"/>
      <c r="P33" s="37" t="str">
        <v>C0005</v>
      </c>
      <c r="Q33" s="38">
        <v>1104</v>
      </c>
      <c r="R33" s="38">
        <v>2280</v>
      </c>
      <c r="S33" s="38">
        <v>1445</v>
      </c>
      <c r="T33" s="38">
        <v>1722</v>
      </c>
      <c r="U33" s="38">
        <v>1196</v>
      </c>
      <c r="V33" s="39">
        <v>7747</v>
      </c>
      <c r="W33" s="31"/>
      <c r="X33" s="31"/>
      <c r="Y33" s="31"/>
    </row>
    <row r="34" spans="1:25" x14ac:dyDescent="0.3">
      <c r="A34" s="31"/>
      <c r="B34" s="31"/>
      <c r="C34" s="31"/>
      <c r="D34" s="31"/>
      <c r="E34" s="31"/>
      <c r="F34" s="31"/>
      <c r="G34" s="31"/>
      <c r="H34" s="31"/>
      <c r="I34" s="31"/>
      <c r="J34" s="31"/>
      <c r="K34" s="31"/>
      <c r="L34" s="31"/>
      <c r="M34" s="31"/>
      <c r="N34" s="44" t="str">
        <f>pivots!J53</f>
        <v>Call Rank: 4</v>
      </c>
      <c r="O34" s="45"/>
      <c r="P34" s="37" t="str">
        <v>C0006</v>
      </c>
      <c r="Q34" s="38">
        <v>372</v>
      </c>
      <c r="R34" s="38">
        <v>1818</v>
      </c>
      <c r="S34" s="38">
        <v>1346</v>
      </c>
      <c r="T34" s="38">
        <v>1156</v>
      </c>
      <c r="U34" s="38">
        <v>1484</v>
      </c>
      <c r="V34" s="39">
        <v>6176</v>
      </c>
      <c r="W34" s="31"/>
      <c r="X34" s="31"/>
      <c r="Y34" s="31"/>
    </row>
    <row r="35" spans="1:25" x14ac:dyDescent="0.3">
      <c r="A35" s="31"/>
      <c r="B35" s="31"/>
      <c r="C35" s="31"/>
      <c r="D35" s="31"/>
      <c r="E35" s="31"/>
      <c r="F35" s="31"/>
      <c r="G35" s="31"/>
      <c r="H35" s="31"/>
      <c r="I35" s="31"/>
      <c r="J35" s="31"/>
      <c r="K35" s="31"/>
      <c r="L35" s="31"/>
      <c r="M35" s="31"/>
      <c r="N35" s="44" t="str">
        <f>pivots!J54</f>
        <v>Amount rank: 4</v>
      </c>
      <c r="O35" s="45"/>
      <c r="P35" s="37" t="str">
        <v>C0009</v>
      </c>
      <c r="Q35" s="38">
        <v>1415</v>
      </c>
      <c r="R35" s="38">
        <v>1271</v>
      </c>
      <c r="S35" s="38">
        <v>1214</v>
      </c>
      <c r="T35" s="38">
        <v>1135</v>
      </c>
      <c r="U35" s="38">
        <v>1566</v>
      </c>
      <c r="V35" s="39">
        <v>6601</v>
      </c>
      <c r="W35" s="31"/>
      <c r="X35" s="31"/>
      <c r="Y35" s="31"/>
    </row>
    <row r="36" spans="1:25" x14ac:dyDescent="0.3">
      <c r="A36" s="31"/>
      <c r="B36" s="31"/>
      <c r="C36" s="31"/>
      <c r="D36" s="31"/>
      <c r="E36" s="31"/>
      <c r="F36" s="31"/>
      <c r="G36" s="31"/>
      <c r="H36" s="31"/>
      <c r="I36" s="31"/>
      <c r="J36" s="31"/>
      <c r="K36" s="31"/>
      <c r="L36" s="31"/>
      <c r="M36" s="31"/>
      <c r="N36" s="31"/>
      <c r="O36" s="31"/>
      <c r="P36" s="40" t="str">
        <v>C0014</v>
      </c>
      <c r="Q36" s="41">
        <v>1362</v>
      </c>
      <c r="R36" s="41">
        <v>1363</v>
      </c>
      <c r="S36" s="41">
        <v>1152</v>
      </c>
      <c r="T36" s="41">
        <v>777</v>
      </c>
      <c r="U36" s="41">
        <v>750</v>
      </c>
      <c r="V36" s="42">
        <v>5404</v>
      </c>
      <c r="W36" s="31"/>
      <c r="X36" s="31"/>
      <c r="Y36" s="31"/>
    </row>
    <row r="37" spans="1:25" x14ac:dyDescent="0.3">
      <c r="A37" s="31"/>
      <c r="B37" s="31"/>
      <c r="C37" s="31"/>
      <c r="D37" s="31"/>
      <c r="E37" s="31"/>
      <c r="F37" s="31"/>
      <c r="G37" s="31"/>
      <c r="H37" s="31"/>
      <c r="I37" s="31"/>
      <c r="J37" s="31"/>
      <c r="K37" s="31"/>
      <c r="L37" s="31"/>
      <c r="M37" s="31"/>
      <c r="N37" s="31"/>
      <c r="O37" s="31"/>
      <c r="P37" s="31"/>
      <c r="Q37" s="31"/>
      <c r="R37" s="31"/>
      <c r="S37" s="31"/>
      <c r="T37" s="31"/>
      <c r="U37" s="31"/>
      <c r="V37" s="31"/>
      <c r="W37" s="31"/>
      <c r="X37" s="31"/>
      <c r="Y37" s="31"/>
    </row>
    <row r="38" spans="1:25" x14ac:dyDescent="0.3">
      <c r="A38" s="31"/>
      <c r="B38" s="31"/>
      <c r="C38" s="31"/>
      <c r="D38" s="31"/>
      <c r="E38" s="31"/>
      <c r="F38" s="31"/>
      <c r="G38" s="31"/>
      <c r="H38" s="31"/>
      <c r="I38" s="31"/>
      <c r="J38" s="31"/>
      <c r="K38" s="31"/>
      <c r="L38" s="31"/>
      <c r="M38" s="31"/>
      <c r="N38" s="31"/>
      <c r="O38" s="31"/>
      <c r="P38" s="31"/>
      <c r="Q38" s="31"/>
      <c r="R38" s="31"/>
      <c r="S38" s="31"/>
      <c r="T38" s="31"/>
      <c r="U38" s="31"/>
      <c r="V38" s="31"/>
      <c r="W38" s="31"/>
      <c r="X38" s="31"/>
      <c r="Y38" s="31"/>
    </row>
    <row r="39" spans="1:25" x14ac:dyDescent="0.3">
      <c r="A39" s="31"/>
      <c r="B39" s="31"/>
      <c r="C39" s="31"/>
      <c r="D39" s="31"/>
      <c r="E39" s="31"/>
      <c r="F39" s="31"/>
      <c r="G39" s="31"/>
      <c r="H39" s="31"/>
      <c r="I39" s="31"/>
      <c r="J39" s="31"/>
      <c r="K39" s="31"/>
      <c r="L39" s="31"/>
      <c r="M39" s="31"/>
      <c r="N39" s="31"/>
      <c r="O39" s="31"/>
      <c r="P39" s="31"/>
      <c r="Q39" s="31"/>
      <c r="R39" s="31"/>
      <c r="S39" s="31"/>
      <c r="T39" s="31"/>
      <c r="U39" s="31"/>
      <c r="V39" s="31"/>
      <c r="W39" s="31"/>
      <c r="X39" s="31"/>
      <c r="Y39" s="31"/>
    </row>
    <row r="40" spans="1:25" x14ac:dyDescent="0.3">
      <c r="A40" s="31"/>
      <c r="B40" s="31"/>
      <c r="C40" s="31"/>
      <c r="D40" s="31"/>
      <c r="E40" s="31"/>
      <c r="F40" s="31"/>
      <c r="G40" s="31"/>
      <c r="H40" s="31"/>
      <c r="I40" s="31"/>
      <c r="J40" s="31"/>
      <c r="K40" s="31"/>
      <c r="L40" s="31"/>
      <c r="M40" s="31"/>
      <c r="N40" s="31"/>
      <c r="O40" s="31"/>
      <c r="P40" s="31"/>
      <c r="Q40" s="31"/>
      <c r="R40" s="31"/>
      <c r="S40" s="31"/>
      <c r="T40" s="31"/>
      <c r="U40" s="31"/>
      <c r="V40" s="31"/>
      <c r="W40" s="31"/>
      <c r="X40" s="31"/>
      <c r="Y40" s="31"/>
    </row>
    <row r="41" spans="1:25" x14ac:dyDescent="0.3">
      <c r="A41" s="31"/>
      <c r="B41" s="31"/>
      <c r="C41" s="31"/>
      <c r="D41" s="31"/>
      <c r="E41" s="31"/>
      <c r="F41" s="31"/>
      <c r="G41" s="31"/>
      <c r="H41" s="31"/>
      <c r="I41" s="31"/>
      <c r="J41" s="31"/>
      <c r="K41" s="31"/>
      <c r="L41" s="31"/>
      <c r="M41" s="31"/>
      <c r="N41" s="31"/>
      <c r="O41" s="31"/>
      <c r="P41" s="31"/>
      <c r="Q41" s="31"/>
      <c r="R41" s="31"/>
      <c r="S41" s="31"/>
      <c r="T41" s="31"/>
      <c r="U41" s="31"/>
      <c r="V41" s="31"/>
      <c r="W41" s="31"/>
      <c r="X41" s="31"/>
      <c r="Y41" s="31"/>
    </row>
    <row r="42" spans="1:25" x14ac:dyDescent="0.3">
      <c r="A42" s="31"/>
      <c r="B42" s="31"/>
      <c r="C42" s="31"/>
      <c r="D42" s="31"/>
      <c r="E42" s="31"/>
      <c r="F42" s="31"/>
      <c r="G42" s="31"/>
      <c r="H42" s="31"/>
      <c r="I42" s="31"/>
      <c r="J42" s="31"/>
      <c r="K42" s="31"/>
      <c r="L42" s="31"/>
      <c r="M42" s="31"/>
      <c r="N42" s="31"/>
      <c r="O42" s="31"/>
      <c r="P42" s="31"/>
      <c r="Q42" s="31"/>
      <c r="R42" s="31"/>
      <c r="S42" s="31"/>
      <c r="T42" s="31"/>
      <c r="U42" s="31"/>
      <c r="V42" s="31"/>
      <c r="W42" s="31"/>
      <c r="X42" s="31"/>
      <c r="Y42" s="31"/>
    </row>
    <row r="43" spans="1:25" x14ac:dyDescent="0.3">
      <c r="A43" s="31"/>
      <c r="B43" s="31"/>
      <c r="C43" s="31"/>
      <c r="D43" s="31"/>
      <c r="E43" s="31"/>
      <c r="F43" s="31"/>
      <c r="G43" s="31"/>
      <c r="H43" s="31"/>
      <c r="I43" s="31"/>
      <c r="J43" s="31"/>
      <c r="K43" s="31"/>
      <c r="L43" s="31"/>
      <c r="M43" s="31"/>
      <c r="N43" s="31"/>
      <c r="O43" s="31"/>
      <c r="P43" s="31"/>
      <c r="Q43" s="31"/>
      <c r="R43" s="31"/>
      <c r="S43" s="31"/>
      <c r="T43" s="31"/>
      <c r="U43" s="31"/>
      <c r="V43" s="31"/>
      <c r="W43" s="31"/>
      <c r="X43" s="31"/>
      <c r="Y43" s="31"/>
    </row>
    <row r="44" spans="1:25"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spans="1:25"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spans="1:25"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spans="1:25"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spans="1:25"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spans="1:25"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spans="1:25"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spans="1:25"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spans="1:25"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spans="1:25"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spans="1:25"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spans="1:25"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spans="1:25"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spans="1:25"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spans="1:25"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spans="1:25"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spans="1:25"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spans="1:25"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spans="1:25"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spans="1:25"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spans="1:25"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spans="1:25"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spans="1:25"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spans="1:25"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spans="1:25"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spans="1:25"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spans="1:25"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spans="1:25"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spans="1:25"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spans="1:25"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spans="1:25"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spans="1:25"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spans="1:25"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spans="1:25"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spans="1:25"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spans="1:25"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spans="1:25"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spans="1:25"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spans="1:25"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spans="1:25"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spans="1:25"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spans="1:25"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spans="1:25"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spans="1:25"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spans="1:25"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spans="1:25"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spans="1:25"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spans="1:25"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spans="1:25"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spans="1:25"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spans="1:25"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sheetData>
  <mergeCells count="5">
    <mergeCell ref="N33:O33"/>
    <mergeCell ref="N34:O34"/>
    <mergeCell ref="N35:O35"/>
    <mergeCell ref="C1:V1"/>
    <mergeCell ref="N27:O32"/>
  </mergeCells>
  <conditionalFormatting sqref="Q20:U36">
    <cfRule type="dataBar" priority="2">
      <dataBar>
        <cfvo type="num" val="0"/>
        <cfvo type="formula" val="MAX($Q$20:$U$36)*2"/>
        <color rgb="FF2F4858"/>
      </dataBar>
      <extLst>
        <ext xmlns:x14="http://schemas.microsoft.com/office/spreadsheetml/2009/9/main" uri="{B025F937-C7B1-47D3-B67F-A62EFF666E3E}">
          <x14:id>{37343FB1-A899-4B49-B834-A106575BD96D}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215FC1AB-FFBF-4843-8D8E-424AEE6B1CFA}">
            <xm:f>Q$18=pivots!$A$54</xm:f>
            <x14:dxf>
              <fill>
                <patternFill>
                  <bgColor rgb="FF98EBEC"/>
                </patternFill>
              </fill>
              <border>
                <left style="thin">
                  <color theme="8" tint="-0.24994659260841701"/>
                </left>
                <right style="thin">
                  <color theme="8" tint="-0.24994659260841701"/>
                </right>
                <vertical/>
                <horizontal/>
              </border>
            </x14:dxf>
          </x14:cfRule>
          <xm:sqref>Q18:U36</xm:sqref>
        </x14:conditionalFormatting>
        <x14:conditionalFormatting xmlns:xm="http://schemas.microsoft.com/office/excel/2006/main">
          <x14:cfRule type="dataBar" id="{37343FB1-A899-4B49-B834-A106575BD96D}">
            <x14:dataBar minLength="0" maxLength="100" gradient="0">
              <x14:cfvo type="num">
                <xm:f>0</xm:f>
              </x14:cfvo>
              <x14:cfvo type="formula">
                <xm:f>MAX($Q$20:$U$36)*2</xm:f>
              </x14:cfvo>
              <x14:negativeFillColor rgb="FFFF0000"/>
              <x14:axisColor rgb="FF000000"/>
            </x14:dataBar>
          </x14:cfRule>
          <xm:sqref>Q20:U36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Call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Prem kumar Gara</cp:lastModifiedBy>
  <dcterms:created xsi:type="dcterms:W3CDTF">2021-03-14T20:21:32Z</dcterms:created>
  <dcterms:modified xsi:type="dcterms:W3CDTF">2026-04-22T14:03:52Z</dcterms:modified>
</cp:coreProperties>
</file>